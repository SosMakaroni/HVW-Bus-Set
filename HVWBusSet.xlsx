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19a91e8a51c869d/Dokumentumok/GitHub/HVW-Bus-Set/"/>
    </mc:Choice>
  </mc:AlternateContent>
  <xr:revisionPtr revIDLastSave="382" documentId="13_ncr:1_{4FD17092-67A2-4D4C-9A13-270539237338}" xr6:coauthVersionLast="47" xr6:coauthVersionMax="47" xr10:uidLastSave="{DDA63431-B112-4C7D-8229-9167E5328A95}"/>
  <bookViews>
    <workbookView xWindow="21132" yWindow="2412" windowWidth="21048" windowHeight="21984" activeTab="1" xr2:uid="{00000000-000D-0000-FFFF-FFFF00000000}"/>
  </bookViews>
  <sheets>
    <sheet name="V4" sheetId="14" r:id="rId1"/>
    <sheet name="V4.0 még nincs voxel" sheetId="13" r:id="rId2"/>
    <sheet name="Eggyenletek" sheetId="8" r:id="rId3"/>
    <sheet name="Pozició" sheetId="12" r:id="rId4"/>
  </sheets>
  <definedNames>
    <definedName name="_xlnm._FilterDatabase" localSheetId="1" hidden="1">'V4.0 még nincs voxel'!$A$1:$AU$260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gKh0zQTssyvMnGClFgGriTe3a4oQ=="/>
    </ext>
  </extLst>
</workbook>
</file>

<file path=xl/calcChain.xml><?xml version="1.0" encoding="utf-8"?>
<calcChain xmlns="http://schemas.openxmlformats.org/spreadsheetml/2006/main">
  <c r="Q37" i="13" l="1"/>
  <c r="AR63" i="13"/>
  <c r="AN63" i="13"/>
  <c r="AF63" i="13"/>
  <c r="AE63" i="13"/>
  <c r="AD63" i="13"/>
  <c r="AC63" i="13"/>
  <c r="AB63" i="13"/>
  <c r="AA63" i="13"/>
  <c r="X63" i="13"/>
  <c r="T63" i="13"/>
  <c r="P63" i="13"/>
  <c r="R63" i="13" s="1"/>
  <c r="AN62" i="13"/>
  <c r="AR62" i="13"/>
  <c r="P62" i="13"/>
  <c r="Q62" i="13"/>
  <c r="T62" i="13"/>
  <c r="R62" i="13" s="1"/>
  <c r="X62" i="13"/>
  <c r="AE62" i="13"/>
  <c r="AF62" i="13"/>
  <c r="AC62" i="13"/>
  <c r="AD62" i="13"/>
  <c r="AA62" i="13"/>
  <c r="AB62" i="13"/>
  <c r="AN17" i="13"/>
  <c r="AN18" i="13"/>
  <c r="AN19" i="13"/>
  <c r="AN20" i="13"/>
  <c r="AN21" i="13"/>
  <c r="AN22" i="13"/>
  <c r="AR17" i="13"/>
  <c r="AR18" i="13"/>
  <c r="AR19" i="13"/>
  <c r="AR20" i="13"/>
  <c r="AR21" i="13"/>
  <c r="AA17" i="13"/>
  <c r="AB17" i="13"/>
  <c r="AC17" i="13"/>
  <c r="AD17" i="13"/>
  <c r="AE17" i="13"/>
  <c r="AF17" i="13"/>
  <c r="AA18" i="13"/>
  <c r="AB18" i="13"/>
  <c r="AC18" i="13"/>
  <c r="AD18" i="13"/>
  <c r="AE18" i="13"/>
  <c r="AF18" i="13"/>
  <c r="AA19" i="13"/>
  <c r="AB19" i="13"/>
  <c r="AC19" i="13"/>
  <c r="AD19" i="13"/>
  <c r="AE19" i="13"/>
  <c r="AF19" i="13"/>
  <c r="AA20" i="13"/>
  <c r="AB20" i="13"/>
  <c r="AC20" i="13"/>
  <c r="AD20" i="13"/>
  <c r="AE20" i="13"/>
  <c r="AF20" i="13"/>
  <c r="AA21" i="13"/>
  <c r="AB21" i="13"/>
  <c r="AC21" i="13"/>
  <c r="AD21" i="13"/>
  <c r="AE21" i="13"/>
  <c r="AF21" i="13"/>
  <c r="AA22" i="13"/>
  <c r="AB22" i="13"/>
  <c r="AC22" i="13"/>
  <c r="AD22" i="13"/>
  <c r="AE22" i="13"/>
  <c r="AF22" i="13"/>
  <c r="AA23" i="13"/>
  <c r="AB23" i="13"/>
  <c r="AC23" i="13"/>
  <c r="AD23" i="13"/>
  <c r="AE23" i="13"/>
  <c r="AF23" i="13"/>
  <c r="AA24" i="13"/>
  <c r="AB24" i="13"/>
  <c r="AC24" i="13"/>
  <c r="AD24" i="13"/>
  <c r="AE24" i="13"/>
  <c r="AF24" i="13"/>
  <c r="X17" i="13"/>
  <c r="X18" i="13"/>
  <c r="X19" i="13"/>
  <c r="X20" i="13"/>
  <c r="X21" i="13"/>
  <c r="T17" i="13"/>
  <c r="T18" i="13"/>
  <c r="T19" i="13"/>
  <c r="R19" i="13" s="1"/>
  <c r="T20" i="13"/>
  <c r="T21" i="13"/>
  <c r="T22" i="13"/>
  <c r="P17" i="13"/>
  <c r="P18" i="13"/>
  <c r="Q18" i="13"/>
  <c r="R18" i="13"/>
  <c r="P19" i="13"/>
  <c r="P20" i="13"/>
  <c r="P21" i="13"/>
  <c r="P22" i="13"/>
  <c r="AR46" i="13"/>
  <c r="AR47" i="13"/>
  <c r="AR48" i="13"/>
  <c r="AR49" i="13"/>
  <c r="AN47" i="13"/>
  <c r="AN48" i="13"/>
  <c r="AN46" i="13"/>
  <c r="AA46" i="13"/>
  <c r="AB46" i="13"/>
  <c r="AC46" i="13"/>
  <c r="AD46" i="13"/>
  <c r="AE46" i="13"/>
  <c r="AF46" i="13"/>
  <c r="AA47" i="13"/>
  <c r="AB47" i="13"/>
  <c r="AC47" i="13"/>
  <c r="AD47" i="13"/>
  <c r="AE47" i="13"/>
  <c r="AF47" i="13"/>
  <c r="AA48" i="13"/>
  <c r="AB48" i="13"/>
  <c r="AC48" i="13"/>
  <c r="AD48" i="13"/>
  <c r="AE48" i="13"/>
  <c r="AF48" i="13"/>
  <c r="X46" i="13"/>
  <c r="X47" i="13"/>
  <c r="T46" i="13"/>
  <c r="T47" i="13"/>
  <c r="P46" i="13"/>
  <c r="P47" i="13"/>
  <c r="AR141" i="13"/>
  <c r="AN141" i="13"/>
  <c r="AF141" i="13"/>
  <c r="AE141" i="13"/>
  <c r="AD141" i="13"/>
  <c r="AC141" i="13"/>
  <c r="AB141" i="13"/>
  <c r="AA141" i="13"/>
  <c r="X141" i="13"/>
  <c r="T141" i="13"/>
  <c r="P141" i="13"/>
  <c r="AR107" i="13"/>
  <c r="AN107" i="13"/>
  <c r="AF107" i="13"/>
  <c r="AE107" i="13"/>
  <c r="AD107" i="13"/>
  <c r="AC107" i="13"/>
  <c r="AB107" i="13"/>
  <c r="AA107" i="13"/>
  <c r="X107" i="13"/>
  <c r="T107" i="13"/>
  <c r="P107" i="13"/>
  <c r="AR23" i="13"/>
  <c r="AN23" i="13"/>
  <c r="X23" i="13"/>
  <c r="T23" i="13"/>
  <c r="P23" i="13"/>
  <c r="AR24" i="13"/>
  <c r="AN24" i="13"/>
  <c r="X24" i="13"/>
  <c r="T24" i="13"/>
  <c r="P24" i="13"/>
  <c r="AR25" i="13"/>
  <c r="AN25" i="13"/>
  <c r="AF25" i="13"/>
  <c r="AE25" i="13"/>
  <c r="AD25" i="13"/>
  <c r="AC25" i="13"/>
  <c r="AB25" i="13"/>
  <c r="AA25" i="13"/>
  <c r="X25" i="13"/>
  <c r="T25" i="13"/>
  <c r="P25" i="13"/>
  <c r="AR22" i="13"/>
  <c r="X22" i="13"/>
  <c r="X3" i="13"/>
  <c r="X4" i="13"/>
  <c r="X5" i="13"/>
  <c r="X6" i="13"/>
  <c r="X7" i="13"/>
  <c r="X8" i="13"/>
  <c r="X9" i="13"/>
  <c r="X10" i="13"/>
  <c r="X11" i="13"/>
  <c r="X12" i="13"/>
  <c r="X13" i="13"/>
  <c r="X14" i="13"/>
  <c r="X15" i="13"/>
  <c r="X16" i="13"/>
  <c r="X26" i="13"/>
  <c r="X27" i="13"/>
  <c r="X28" i="13"/>
  <c r="X29" i="13"/>
  <c r="X30" i="13"/>
  <c r="X31" i="13"/>
  <c r="X32" i="13"/>
  <c r="X33" i="13"/>
  <c r="X34" i="13"/>
  <c r="X35" i="13"/>
  <c r="X36" i="13"/>
  <c r="X37" i="13"/>
  <c r="X38" i="13"/>
  <c r="X39" i="13"/>
  <c r="X40" i="13"/>
  <c r="X41" i="13"/>
  <c r="X42" i="13"/>
  <c r="X43" i="13"/>
  <c r="X44" i="13"/>
  <c r="X45" i="13"/>
  <c r="X48" i="13"/>
  <c r="X49" i="13"/>
  <c r="X50" i="13"/>
  <c r="X51" i="13"/>
  <c r="X52" i="13"/>
  <c r="X53" i="13"/>
  <c r="X54" i="13"/>
  <c r="X55" i="13"/>
  <c r="X56" i="13"/>
  <c r="X57" i="13"/>
  <c r="X58" i="13"/>
  <c r="X59" i="13"/>
  <c r="X60" i="13"/>
  <c r="X61" i="13"/>
  <c r="X64" i="13"/>
  <c r="X65" i="13"/>
  <c r="X66" i="13"/>
  <c r="X67" i="13"/>
  <c r="X68" i="13"/>
  <c r="X69" i="13"/>
  <c r="X70" i="13"/>
  <c r="X71" i="13"/>
  <c r="X72" i="13"/>
  <c r="X73" i="13"/>
  <c r="X74" i="13"/>
  <c r="X75" i="13"/>
  <c r="X76" i="13"/>
  <c r="X77" i="13"/>
  <c r="X78" i="13"/>
  <c r="X79" i="13"/>
  <c r="X80" i="13"/>
  <c r="X81" i="13"/>
  <c r="X82" i="13"/>
  <c r="X83" i="13"/>
  <c r="X84" i="13"/>
  <c r="X85" i="13"/>
  <c r="X86" i="13"/>
  <c r="X87" i="13"/>
  <c r="X88" i="13"/>
  <c r="X89" i="13"/>
  <c r="X90" i="13"/>
  <c r="X91" i="13"/>
  <c r="X92" i="13"/>
  <c r="X93" i="13"/>
  <c r="X94" i="13"/>
  <c r="X95" i="13"/>
  <c r="X96" i="13"/>
  <c r="X97" i="13"/>
  <c r="X98" i="13"/>
  <c r="X99" i="13"/>
  <c r="X100" i="13"/>
  <c r="X101" i="13"/>
  <c r="X102" i="13"/>
  <c r="X103" i="13"/>
  <c r="X104" i="13"/>
  <c r="X105" i="13"/>
  <c r="X106" i="13"/>
  <c r="X108" i="13"/>
  <c r="X109" i="13"/>
  <c r="X110" i="13"/>
  <c r="X111" i="13"/>
  <c r="X112" i="13"/>
  <c r="X113" i="13"/>
  <c r="X114" i="13"/>
  <c r="X115" i="13"/>
  <c r="X116" i="13"/>
  <c r="X117" i="13"/>
  <c r="X118" i="13"/>
  <c r="X119" i="13"/>
  <c r="X120" i="13"/>
  <c r="X121" i="13"/>
  <c r="X122" i="13"/>
  <c r="X123" i="13"/>
  <c r="X124" i="13"/>
  <c r="X125" i="13"/>
  <c r="X126" i="13"/>
  <c r="X127" i="13"/>
  <c r="X128" i="13"/>
  <c r="X129" i="13"/>
  <c r="X130" i="13"/>
  <c r="X131" i="13"/>
  <c r="X132" i="13"/>
  <c r="X133" i="13"/>
  <c r="X134" i="13"/>
  <c r="X135" i="13"/>
  <c r="X136" i="13"/>
  <c r="X137" i="13"/>
  <c r="X138" i="13"/>
  <c r="X139" i="13"/>
  <c r="X140" i="13"/>
  <c r="X142" i="13"/>
  <c r="X143" i="13"/>
  <c r="X144" i="13"/>
  <c r="X145" i="13"/>
  <c r="X146" i="13"/>
  <c r="X147" i="13"/>
  <c r="X148" i="13"/>
  <c r="X149" i="13"/>
  <c r="X150" i="13"/>
  <c r="X151" i="13"/>
  <c r="X152" i="13"/>
  <c r="X153" i="13"/>
  <c r="X154" i="13"/>
  <c r="X155" i="13"/>
  <c r="X156" i="13"/>
  <c r="X157" i="13"/>
  <c r="X158" i="13"/>
  <c r="X159" i="13"/>
  <c r="X160" i="13"/>
  <c r="X161" i="13"/>
  <c r="X162" i="13"/>
  <c r="X163" i="13"/>
  <c r="X164" i="13"/>
  <c r="X165" i="13"/>
  <c r="X166" i="13"/>
  <c r="X167" i="13"/>
  <c r="X168" i="13"/>
  <c r="X169" i="13"/>
  <c r="X170" i="13"/>
  <c r="X171" i="13"/>
  <c r="X172" i="13"/>
  <c r="X173" i="13"/>
  <c r="X174" i="13"/>
  <c r="X175" i="13"/>
  <c r="X176" i="13"/>
  <c r="X177" i="13"/>
  <c r="X178" i="13"/>
  <c r="X179" i="13"/>
  <c r="X180" i="13"/>
  <c r="X181" i="13"/>
  <c r="X182" i="13"/>
  <c r="X183" i="13"/>
  <c r="X184" i="13"/>
  <c r="X185" i="13"/>
  <c r="X186" i="13"/>
  <c r="X187" i="13"/>
  <c r="X188" i="13"/>
  <c r="X189" i="13"/>
  <c r="X190" i="13"/>
  <c r="X191" i="13"/>
  <c r="X192" i="13"/>
  <c r="X193" i="13"/>
  <c r="X194" i="13"/>
  <c r="X195" i="13"/>
  <c r="X196" i="13"/>
  <c r="X197" i="13"/>
  <c r="X198" i="13"/>
  <c r="X199" i="13"/>
  <c r="X200" i="13"/>
  <c r="X201" i="13"/>
  <c r="X202" i="13"/>
  <c r="X203" i="13"/>
  <c r="X204" i="13"/>
  <c r="X205" i="13"/>
  <c r="X206" i="13"/>
  <c r="X207" i="13"/>
  <c r="X208" i="13"/>
  <c r="X209" i="13"/>
  <c r="X210" i="13"/>
  <c r="X211" i="13"/>
  <c r="X212" i="13"/>
  <c r="X213" i="13"/>
  <c r="X214" i="13"/>
  <c r="X215" i="13"/>
  <c r="X216" i="13"/>
  <c r="X217" i="13"/>
  <c r="X218" i="13"/>
  <c r="X219" i="13"/>
  <c r="X220" i="13"/>
  <c r="X221" i="13"/>
  <c r="X222" i="13"/>
  <c r="X223" i="13"/>
  <c r="X224" i="13"/>
  <c r="X225" i="13"/>
  <c r="X226" i="13"/>
  <c r="X227" i="13"/>
  <c r="X228" i="13"/>
  <c r="X229" i="13"/>
  <c r="X230" i="13"/>
  <c r="X231" i="13"/>
  <c r="X232" i="13"/>
  <c r="X233" i="13"/>
  <c r="X234" i="13"/>
  <c r="X235" i="13"/>
  <c r="X236" i="13"/>
  <c r="X237" i="13"/>
  <c r="X238" i="13"/>
  <c r="X239" i="13"/>
  <c r="X240" i="13"/>
  <c r="X241" i="13"/>
  <c r="X242" i="13"/>
  <c r="X243" i="13"/>
  <c r="X244" i="13"/>
  <c r="X245" i="13"/>
  <c r="X246" i="13"/>
  <c r="X247" i="13"/>
  <c r="X248" i="13"/>
  <c r="X249" i="13"/>
  <c r="X250" i="13"/>
  <c r="X251" i="13"/>
  <c r="X252" i="13"/>
  <c r="X253" i="13"/>
  <c r="X254" i="13"/>
  <c r="X255" i="13"/>
  <c r="X256" i="13"/>
  <c r="X257" i="13"/>
  <c r="X258" i="13"/>
  <c r="X259" i="13"/>
  <c r="X260" i="13"/>
  <c r="X2" i="13"/>
  <c r="AR45" i="13"/>
  <c r="AN45" i="13"/>
  <c r="AF45" i="13"/>
  <c r="AE45" i="13"/>
  <c r="AD45" i="13"/>
  <c r="AC45" i="13"/>
  <c r="AB45" i="13"/>
  <c r="AA45" i="13"/>
  <c r="T45" i="13"/>
  <c r="P45" i="13"/>
  <c r="AR44" i="13"/>
  <c r="AN44" i="13"/>
  <c r="AF44" i="13"/>
  <c r="AE44" i="13"/>
  <c r="AD44" i="13"/>
  <c r="AC44" i="13"/>
  <c r="AB44" i="13"/>
  <c r="AA44" i="13"/>
  <c r="T44" i="13"/>
  <c r="P44" i="13"/>
  <c r="AR43" i="13"/>
  <c r="AN43" i="13"/>
  <c r="AF43" i="13"/>
  <c r="AE43" i="13"/>
  <c r="AD43" i="13"/>
  <c r="AC43" i="13"/>
  <c r="AB43" i="13"/>
  <c r="AA43" i="13"/>
  <c r="T43" i="13"/>
  <c r="P43" i="13"/>
  <c r="AR42" i="13"/>
  <c r="AN42" i="13"/>
  <c r="AF42" i="13"/>
  <c r="AE42" i="13"/>
  <c r="AD42" i="13"/>
  <c r="AC42" i="13"/>
  <c r="AB42" i="13"/>
  <c r="AA42" i="13"/>
  <c r="T42" i="13"/>
  <c r="P42" i="13"/>
  <c r="AR41" i="13"/>
  <c r="AN41" i="13"/>
  <c r="AF41" i="13"/>
  <c r="AE41" i="13"/>
  <c r="AD41" i="13"/>
  <c r="AC41" i="13"/>
  <c r="AB41" i="13"/>
  <c r="AA41" i="13"/>
  <c r="T41" i="13"/>
  <c r="P41" i="13"/>
  <c r="AN61" i="13"/>
  <c r="AN64" i="13"/>
  <c r="AA61" i="13"/>
  <c r="AB61" i="13"/>
  <c r="AC61" i="13"/>
  <c r="AD61" i="13"/>
  <c r="AE61" i="13"/>
  <c r="AF61" i="13"/>
  <c r="AA64" i="13"/>
  <c r="AB64" i="13"/>
  <c r="AC64" i="13"/>
  <c r="AD64" i="13"/>
  <c r="AE64" i="13"/>
  <c r="AF64" i="13"/>
  <c r="T61" i="13"/>
  <c r="T64" i="13"/>
  <c r="P61" i="13"/>
  <c r="AR61" i="13"/>
  <c r="AR57" i="13"/>
  <c r="AN57" i="13"/>
  <c r="AF57" i="13"/>
  <c r="AE57" i="13"/>
  <c r="AD57" i="13"/>
  <c r="AC57" i="13"/>
  <c r="AB57" i="13"/>
  <c r="AA57" i="13"/>
  <c r="T57" i="13"/>
  <c r="P57" i="13"/>
  <c r="AR56" i="13"/>
  <c r="AN56" i="13"/>
  <c r="AF56" i="13"/>
  <c r="AE56" i="13"/>
  <c r="AD56" i="13"/>
  <c r="AC56" i="13"/>
  <c r="AB56" i="13"/>
  <c r="AA56" i="13"/>
  <c r="T56" i="13"/>
  <c r="P56" i="13"/>
  <c r="AR55" i="13"/>
  <c r="AN55" i="13"/>
  <c r="AF55" i="13"/>
  <c r="AE55" i="13"/>
  <c r="AD55" i="13"/>
  <c r="AC55" i="13"/>
  <c r="AB55" i="13"/>
  <c r="AA55" i="13"/>
  <c r="T55" i="13"/>
  <c r="P55" i="13"/>
  <c r="AR60" i="13"/>
  <c r="AN60" i="13"/>
  <c r="AF60" i="13"/>
  <c r="AE60" i="13"/>
  <c r="AD60" i="13"/>
  <c r="AC60" i="13"/>
  <c r="AB60" i="13"/>
  <c r="AA60" i="13"/>
  <c r="T60" i="13"/>
  <c r="P60" i="13"/>
  <c r="AR59" i="13"/>
  <c r="AN59" i="13"/>
  <c r="AF59" i="13"/>
  <c r="AE59" i="13"/>
  <c r="AD59" i="13"/>
  <c r="AC59" i="13"/>
  <c r="AB59" i="13"/>
  <c r="AA59" i="13"/>
  <c r="T59" i="13"/>
  <c r="P59" i="13"/>
  <c r="AR58" i="13"/>
  <c r="AN58" i="13"/>
  <c r="AF58" i="13"/>
  <c r="AE58" i="13"/>
  <c r="AD58" i="13"/>
  <c r="AC58" i="13"/>
  <c r="AB58" i="13"/>
  <c r="AA58" i="13"/>
  <c r="T58" i="13"/>
  <c r="P58" i="13"/>
  <c r="P13" i="13"/>
  <c r="P14" i="13"/>
  <c r="P15" i="13"/>
  <c r="P16" i="13"/>
  <c r="P26" i="13"/>
  <c r="P27" i="13"/>
  <c r="P28" i="13"/>
  <c r="P35" i="13"/>
  <c r="P36" i="13"/>
  <c r="P37" i="13"/>
  <c r="P29" i="13"/>
  <c r="P30" i="13"/>
  <c r="P31" i="13"/>
  <c r="P32" i="13"/>
  <c r="P33" i="13"/>
  <c r="P34" i="13"/>
  <c r="P38" i="13"/>
  <c r="P39" i="13"/>
  <c r="P40" i="13"/>
  <c r="P48" i="13"/>
  <c r="P49" i="13"/>
  <c r="P50" i="13"/>
  <c r="P51" i="13"/>
  <c r="P52" i="13"/>
  <c r="P53" i="13"/>
  <c r="P54" i="13"/>
  <c r="AR54" i="13"/>
  <c r="AN54" i="13"/>
  <c r="AF54" i="13"/>
  <c r="AE54" i="13"/>
  <c r="AD54" i="13"/>
  <c r="AC54" i="13"/>
  <c r="AB54" i="13"/>
  <c r="AA54" i="13"/>
  <c r="T54" i="13"/>
  <c r="AR53" i="13"/>
  <c r="AN53" i="13"/>
  <c r="AF53" i="13"/>
  <c r="AE53" i="13"/>
  <c r="AD53" i="13"/>
  <c r="AC53" i="13"/>
  <c r="AB53" i="13"/>
  <c r="AA53" i="13"/>
  <c r="T53" i="13"/>
  <c r="AR52" i="13"/>
  <c r="AN52" i="13"/>
  <c r="AF52" i="13"/>
  <c r="AE52" i="13"/>
  <c r="AD52" i="13"/>
  <c r="AC52" i="13"/>
  <c r="AB52" i="13"/>
  <c r="AA52" i="13"/>
  <c r="T52" i="13"/>
  <c r="AR51" i="13"/>
  <c r="AN51" i="13"/>
  <c r="AF51" i="13"/>
  <c r="AE51" i="13"/>
  <c r="AD51" i="13"/>
  <c r="AC51" i="13"/>
  <c r="AB51" i="13"/>
  <c r="AA51" i="13"/>
  <c r="T51" i="13"/>
  <c r="AR50" i="13"/>
  <c r="AN50" i="13"/>
  <c r="AF50" i="13"/>
  <c r="AE50" i="13"/>
  <c r="AD50" i="13"/>
  <c r="AC50" i="13"/>
  <c r="AB50" i="13"/>
  <c r="AA50" i="13"/>
  <c r="T50" i="13"/>
  <c r="AN49" i="13"/>
  <c r="AF49" i="13"/>
  <c r="AE49" i="13"/>
  <c r="AD49" i="13"/>
  <c r="AC49" i="13"/>
  <c r="AB49" i="13"/>
  <c r="AA49" i="13"/>
  <c r="T49" i="13"/>
  <c r="T48" i="13"/>
  <c r="AR40" i="13"/>
  <c r="AN40" i="13"/>
  <c r="AF40" i="13"/>
  <c r="AE40" i="13"/>
  <c r="AD40" i="13"/>
  <c r="AC40" i="13"/>
  <c r="AB40" i="13"/>
  <c r="AA40" i="13"/>
  <c r="T40" i="13"/>
  <c r="AR39" i="13"/>
  <c r="AN39" i="13"/>
  <c r="AF39" i="13"/>
  <c r="AE39" i="13"/>
  <c r="AD39" i="13"/>
  <c r="AC39" i="13"/>
  <c r="AB39" i="13"/>
  <c r="AA39" i="13"/>
  <c r="T39" i="13"/>
  <c r="AR38" i="13"/>
  <c r="AN38" i="13"/>
  <c r="AF38" i="13"/>
  <c r="AE38" i="13"/>
  <c r="AD38" i="13"/>
  <c r="AC38" i="13"/>
  <c r="AB38" i="13"/>
  <c r="AA38" i="13"/>
  <c r="T38" i="13"/>
  <c r="AR34" i="13"/>
  <c r="AN34" i="13"/>
  <c r="AF34" i="13"/>
  <c r="AE34" i="13"/>
  <c r="AD34" i="13"/>
  <c r="AC34" i="13"/>
  <c r="AB34" i="13"/>
  <c r="AA34" i="13"/>
  <c r="T34" i="13"/>
  <c r="AR33" i="13"/>
  <c r="AN33" i="13"/>
  <c r="AF33" i="13"/>
  <c r="AE33" i="13"/>
  <c r="AD33" i="13"/>
  <c r="AC33" i="13"/>
  <c r="AB33" i="13"/>
  <c r="AA33" i="13"/>
  <c r="T33" i="13"/>
  <c r="AR32" i="13"/>
  <c r="AN32" i="13"/>
  <c r="AF32" i="13"/>
  <c r="AE32" i="13"/>
  <c r="AD32" i="13"/>
  <c r="AC32" i="13"/>
  <c r="AB32" i="13"/>
  <c r="AA32" i="13"/>
  <c r="T32" i="13"/>
  <c r="AR31" i="13"/>
  <c r="AN31" i="13"/>
  <c r="AF31" i="13"/>
  <c r="AE31" i="13"/>
  <c r="AD31" i="13"/>
  <c r="AC31" i="13"/>
  <c r="AB31" i="13"/>
  <c r="AA31" i="13"/>
  <c r="T31" i="13"/>
  <c r="AR30" i="13"/>
  <c r="AN30" i="13"/>
  <c r="AF30" i="13"/>
  <c r="AE30" i="13"/>
  <c r="AD30" i="13"/>
  <c r="AC30" i="13"/>
  <c r="AB30" i="13"/>
  <c r="AA30" i="13"/>
  <c r="T30" i="13"/>
  <c r="AR29" i="13"/>
  <c r="AN29" i="13"/>
  <c r="AF29" i="13"/>
  <c r="AE29" i="13"/>
  <c r="AD29" i="13"/>
  <c r="AC29" i="13"/>
  <c r="AB29" i="13"/>
  <c r="AA29" i="13"/>
  <c r="T29" i="13"/>
  <c r="AN260" i="13"/>
  <c r="AN259" i="13"/>
  <c r="AN258" i="13"/>
  <c r="AN257" i="13"/>
  <c r="AN256" i="13"/>
  <c r="AN255" i="13"/>
  <c r="AN254" i="13"/>
  <c r="AN253" i="13"/>
  <c r="AN252" i="13"/>
  <c r="AN251" i="13"/>
  <c r="AN250" i="13"/>
  <c r="AN249" i="13"/>
  <c r="AN248" i="13"/>
  <c r="AN247" i="13"/>
  <c r="AN246" i="13"/>
  <c r="AN245" i="13"/>
  <c r="AN244" i="13"/>
  <c r="AN243" i="13"/>
  <c r="AN242" i="13"/>
  <c r="AN241" i="13"/>
  <c r="AN240" i="13"/>
  <c r="AN239" i="13"/>
  <c r="AN238" i="13"/>
  <c r="AN237" i="13"/>
  <c r="AN236" i="13"/>
  <c r="AN235" i="13"/>
  <c r="AN234" i="13"/>
  <c r="AN233" i="13"/>
  <c r="AN232" i="13"/>
  <c r="AN231" i="13"/>
  <c r="AN230" i="13"/>
  <c r="AN229" i="13"/>
  <c r="AN228" i="13"/>
  <c r="AN227" i="13"/>
  <c r="AN226" i="13"/>
  <c r="AN225" i="13"/>
  <c r="AN224" i="13"/>
  <c r="AN223" i="13"/>
  <c r="AN222" i="13"/>
  <c r="AN221" i="13"/>
  <c r="AN220" i="13"/>
  <c r="AN219" i="13"/>
  <c r="AN218" i="13"/>
  <c r="AN217" i="13"/>
  <c r="AN216" i="13"/>
  <c r="AN215" i="13"/>
  <c r="AN214" i="13"/>
  <c r="AN213" i="13"/>
  <c r="AN212" i="13"/>
  <c r="AN211" i="13"/>
  <c r="AN210" i="13"/>
  <c r="AN209" i="13"/>
  <c r="AN208" i="13"/>
  <c r="AN207" i="13"/>
  <c r="AN206" i="13"/>
  <c r="AN205" i="13"/>
  <c r="AN204" i="13"/>
  <c r="AN203" i="13"/>
  <c r="AN202" i="13"/>
  <c r="AN201" i="13"/>
  <c r="AN200" i="13"/>
  <c r="AN199" i="13"/>
  <c r="AN198" i="13"/>
  <c r="AN197" i="13"/>
  <c r="AN196" i="13"/>
  <c r="AN195" i="13"/>
  <c r="AN194" i="13"/>
  <c r="AN193" i="13"/>
  <c r="AN192" i="13"/>
  <c r="AN191" i="13"/>
  <c r="AN190" i="13"/>
  <c r="AN189" i="13"/>
  <c r="AN188" i="13"/>
  <c r="AN187" i="13"/>
  <c r="AN186" i="13"/>
  <c r="AN185" i="13"/>
  <c r="AN184" i="13"/>
  <c r="AN183" i="13"/>
  <c r="AN182" i="13"/>
  <c r="AN181" i="13"/>
  <c r="AN180" i="13"/>
  <c r="AN179" i="13"/>
  <c r="AN178" i="13"/>
  <c r="AN177" i="13"/>
  <c r="AN176" i="13"/>
  <c r="AN175" i="13"/>
  <c r="AN174" i="13"/>
  <c r="AN173" i="13"/>
  <c r="AN172" i="13"/>
  <c r="AN171" i="13"/>
  <c r="AN170" i="13"/>
  <c r="AN169" i="13"/>
  <c r="AN168" i="13"/>
  <c r="AN167" i="13"/>
  <c r="AN166" i="13"/>
  <c r="AN165" i="13"/>
  <c r="AN164" i="13"/>
  <c r="AN163" i="13"/>
  <c r="AN162" i="13"/>
  <c r="AN161" i="13"/>
  <c r="AN160" i="13"/>
  <c r="AN159" i="13"/>
  <c r="AN158" i="13"/>
  <c r="AN157" i="13"/>
  <c r="AN156" i="13"/>
  <c r="AN155" i="13"/>
  <c r="AN154" i="13"/>
  <c r="AN153" i="13"/>
  <c r="AN152" i="13"/>
  <c r="AN151" i="13"/>
  <c r="AN150" i="13"/>
  <c r="AN149" i="13"/>
  <c r="AN148" i="13"/>
  <c r="AN147" i="13"/>
  <c r="AN146" i="13"/>
  <c r="AN145" i="13"/>
  <c r="AN144" i="13"/>
  <c r="AN143" i="13"/>
  <c r="AN142" i="13"/>
  <c r="AN140" i="13"/>
  <c r="AN139" i="13"/>
  <c r="AN138" i="13"/>
  <c r="AN137" i="13"/>
  <c r="AN136" i="13"/>
  <c r="AN135" i="13"/>
  <c r="AN134" i="13"/>
  <c r="AN133" i="13"/>
  <c r="AN132" i="13"/>
  <c r="AN131" i="13"/>
  <c r="AN130" i="13"/>
  <c r="AN129" i="13"/>
  <c r="AN128" i="13"/>
  <c r="AN127" i="13"/>
  <c r="AN126" i="13"/>
  <c r="AN125" i="13"/>
  <c r="AN124" i="13"/>
  <c r="AN123" i="13"/>
  <c r="AN122" i="13"/>
  <c r="AN121" i="13"/>
  <c r="AN120" i="13"/>
  <c r="AN119" i="13"/>
  <c r="AN118" i="13"/>
  <c r="AN117" i="13"/>
  <c r="AN116" i="13"/>
  <c r="AN115" i="13"/>
  <c r="AN114" i="13"/>
  <c r="AN113" i="13"/>
  <c r="AN112" i="13"/>
  <c r="AN111" i="13"/>
  <c r="AN110" i="13"/>
  <c r="AN109" i="13"/>
  <c r="AN108" i="13"/>
  <c r="AN106" i="13"/>
  <c r="AN105" i="13"/>
  <c r="AN104" i="13"/>
  <c r="AN103" i="13"/>
  <c r="AN102" i="13"/>
  <c r="AN101" i="13"/>
  <c r="AN100" i="13"/>
  <c r="AN99" i="13"/>
  <c r="AN98" i="13"/>
  <c r="AN97" i="13"/>
  <c r="AN94" i="13"/>
  <c r="AN93" i="13"/>
  <c r="AN92" i="13"/>
  <c r="AN91" i="13"/>
  <c r="AN90" i="13"/>
  <c r="AN89" i="13"/>
  <c r="AN88" i="13"/>
  <c r="AN87" i="13"/>
  <c r="AN86" i="13"/>
  <c r="AN85" i="13"/>
  <c r="AN84" i="13"/>
  <c r="AN83" i="13"/>
  <c r="AN82" i="13"/>
  <c r="AN81" i="13"/>
  <c r="AN78" i="13"/>
  <c r="AN77" i="13"/>
  <c r="AN76" i="13"/>
  <c r="AN75" i="13"/>
  <c r="AN74" i="13"/>
  <c r="AN68" i="13"/>
  <c r="AN67" i="13"/>
  <c r="AN66" i="13"/>
  <c r="AN65" i="13"/>
  <c r="AN37" i="13"/>
  <c r="AN36" i="13"/>
  <c r="AN35" i="13"/>
  <c r="AN28" i="13"/>
  <c r="AN27" i="13"/>
  <c r="AN26" i="13"/>
  <c r="AN16" i="13"/>
  <c r="AN15" i="13"/>
  <c r="AN14" i="13"/>
  <c r="AN13" i="13"/>
  <c r="AN12" i="13"/>
  <c r="AN11" i="13"/>
  <c r="AN10" i="13"/>
  <c r="AN8" i="13"/>
  <c r="AN6" i="13"/>
  <c r="AN4" i="13"/>
  <c r="AN3" i="13"/>
  <c r="AN2" i="13"/>
  <c r="AA65" i="13"/>
  <c r="AB65" i="13"/>
  <c r="AC65" i="13"/>
  <c r="AD65" i="13"/>
  <c r="AE65" i="13"/>
  <c r="AF65" i="13"/>
  <c r="AA66" i="13"/>
  <c r="AB66" i="13"/>
  <c r="AC66" i="13"/>
  <c r="AD66" i="13"/>
  <c r="AE66" i="13"/>
  <c r="AF66" i="13"/>
  <c r="AA67" i="13"/>
  <c r="AB67" i="13"/>
  <c r="AC67" i="13"/>
  <c r="AD67" i="13"/>
  <c r="AE67" i="13"/>
  <c r="AF67" i="13"/>
  <c r="AA68" i="13"/>
  <c r="AB68" i="13"/>
  <c r="AC68" i="13"/>
  <c r="AD68" i="13"/>
  <c r="AE68" i="13"/>
  <c r="AF68" i="13"/>
  <c r="AA69" i="13"/>
  <c r="AB69" i="13"/>
  <c r="AC69" i="13"/>
  <c r="AD69" i="13"/>
  <c r="AE69" i="13"/>
  <c r="AF69" i="13"/>
  <c r="AA70" i="13"/>
  <c r="AB70" i="13"/>
  <c r="AC70" i="13"/>
  <c r="AD70" i="13"/>
  <c r="AE70" i="13"/>
  <c r="AF70" i="13"/>
  <c r="AA71" i="13"/>
  <c r="AB71" i="13"/>
  <c r="AC71" i="13"/>
  <c r="AD71" i="13"/>
  <c r="AE71" i="13"/>
  <c r="AF71" i="13"/>
  <c r="AA72" i="13"/>
  <c r="AB72" i="13"/>
  <c r="AC72" i="13"/>
  <c r="AD72" i="13"/>
  <c r="AE72" i="13"/>
  <c r="AF72" i="13"/>
  <c r="AA73" i="13"/>
  <c r="AB73" i="13"/>
  <c r="AC73" i="13"/>
  <c r="AD73" i="13"/>
  <c r="AE73" i="13"/>
  <c r="AF73" i="13"/>
  <c r="AA74" i="13"/>
  <c r="AB74" i="13"/>
  <c r="AC74" i="13"/>
  <c r="AD74" i="13"/>
  <c r="AE74" i="13"/>
  <c r="AF74" i="13"/>
  <c r="AA75" i="13"/>
  <c r="AB75" i="13"/>
  <c r="AC75" i="13"/>
  <c r="AD75" i="13"/>
  <c r="AE75" i="13"/>
  <c r="AF75" i="13"/>
  <c r="AA76" i="13"/>
  <c r="AB76" i="13"/>
  <c r="AC76" i="13"/>
  <c r="AD76" i="13"/>
  <c r="AE76" i="13"/>
  <c r="AF76" i="13"/>
  <c r="AA77" i="13"/>
  <c r="AB77" i="13"/>
  <c r="AC77" i="13"/>
  <c r="AD77" i="13"/>
  <c r="AE77" i="13"/>
  <c r="AF77" i="13"/>
  <c r="AA78" i="13"/>
  <c r="AB78" i="13"/>
  <c r="AC78" i="13"/>
  <c r="AD78" i="13"/>
  <c r="AE78" i="13"/>
  <c r="AF78" i="13"/>
  <c r="AA79" i="13"/>
  <c r="AB79" i="13"/>
  <c r="AC79" i="13"/>
  <c r="AD79" i="13"/>
  <c r="AE79" i="13"/>
  <c r="AF79" i="13"/>
  <c r="AA80" i="13"/>
  <c r="AB80" i="13"/>
  <c r="AC80" i="13"/>
  <c r="AD80" i="13"/>
  <c r="AE80" i="13"/>
  <c r="AF80" i="13"/>
  <c r="AA81" i="13"/>
  <c r="AB81" i="13"/>
  <c r="AC81" i="13"/>
  <c r="AD81" i="13"/>
  <c r="AE81" i="13"/>
  <c r="AF81" i="13"/>
  <c r="AA82" i="13"/>
  <c r="AB82" i="13"/>
  <c r="AC82" i="13"/>
  <c r="AD82" i="13"/>
  <c r="AE82" i="13"/>
  <c r="AF82" i="13"/>
  <c r="AA83" i="13"/>
  <c r="AB83" i="13"/>
  <c r="AC83" i="13"/>
  <c r="AD83" i="13"/>
  <c r="AE83" i="13"/>
  <c r="AF83" i="13"/>
  <c r="AA84" i="13"/>
  <c r="AB84" i="13"/>
  <c r="AC84" i="13"/>
  <c r="AD84" i="13"/>
  <c r="AE84" i="13"/>
  <c r="AF84" i="13"/>
  <c r="AA85" i="13"/>
  <c r="AB85" i="13"/>
  <c r="AC85" i="13"/>
  <c r="AD85" i="13"/>
  <c r="AE85" i="13"/>
  <c r="AF85" i="13"/>
  <c r="AA86" i="13"/>
  <c r="AB86" i="13"/>
  <c r="AC86" i="13"/>
  <c r="AD86" i="13"/>
  <c r="AE86" i="13"/>
  <c r="AF86" i="13"/>
  <c r="AA87" i="13"/>
  <c r="AB87" i="13"/>
  <c r="AC87" i="13"/>
  <c r="AD87" i="13"/>
  <c r="AE87" i="13"/>
  <c r="AF87" i="13"/>
  <c r="AA88" i="13"/>
  <c r="AB88" i="13"/>
  <c r="AC88" i="13"/>
  <c r="AD88" i="13"/>
  <c r="AE88" i="13"/>
  <c r="AF88" i="13"/>
  <c r="AA89" i="13"/>
  <c r="AB89" i="13"/>
  <c r="AC89" i="13"/>
  <c r="AD89" i="13"/>
  <c r="AE89" i="13"/>
  <c r="AF89" i="13"/>
  <c r="AA90" i="13"/>
  <c r="AB90" i="13"/>
  <c r="AC90" i="13"/>
  <c r="AD90" i="13"/>
  <c r="AE90" i="13"/>
  <c r="AF90" i="13"/>
  <c r="AA91" i="13"/>
  <c r="AB91" i="13"/>
  <c r="AC91" i="13"/>
  <c r="AD91" i="13"/>
  <c r="AE91" i="13"/>
  <c r="AF91" i="13"/>
  <c r="AA92" i="13"/>
  <c r="AB92" i="13"/>
  <c r="AC92" i="13"/>
  <c r="AD92" i="13"/>
  <c r="AE92" i="13"/>
  <c r="AF92" i="13"/>
  <c r="AA93" i="13"/>
  <c r="AB93" i="13"/>
  <c r="AC93" i="13"/>
  <c r="AD93" i="13"/>
  <c r="AE93" i="13"/>
  <c r="AF93" i="13"/>
  <c r="AA94" i="13"/>
  <c r="AB94" i="13"/>
  <c r="AC94" i="13"/>
  <c r="AD94" i="13"/>
  <c r="AE94" i="13"/>
  <c r="AF94" i="13"/>
  <c r="AA95" i="13"/>
  <c r="AB95" i="13"/>
  <c r="AC95" i="13"/>
  <c r="AD95" i="13"/>
  <c r="AE95" i="13"/>
  <c r="AF95" i="13"/>
  <c r="AA96" i="13"/>
  <c r="AB96" i="13"/>
  <c r="AC96" i="13"/>
  <c r="AD96" i="13"/>
  <c r="AE96" i="13"/>
  <c r="AF96" i="13"/>
  <c r="AA97" i="13"/>
  <c r="AB97" i="13"/>
  <c r="AC97" i="13"/>
  <c r="AD97" i="13"/>
  <c r="AE97" i="13"/>
  <c r="AF97" i="13"/>
  <c r="AA98" i="13"/>
  <c r="AB98" i="13"/>
  <c r="AC98" i="13"/>
  <c r="AD98" i="13"/>
  <c r="AE98" i="13"/>
  <c r="AF98" i="13"/>
  <c r="AA99" i="13"/>
  <c r="AB99" i="13"/>
  <c r="AC99" i="13"/>
  <c r="AD99" i="13"/>
  <c r="AE99" i="13"/>
  <c r="AF99" i="13"/>
  <c r="AA100" i="13"/>
  <c r="AB100" i="13"/>
  <c r="AC100" i="13"/>
  <c r="AD100" i="13"/>
  <c r="AE100" i="13"/>
  <c r="AF100" i="13"/>
  <c r="AA101" i="13"/>
  <c r="AB101" i="13"/>
  <c r="AC101" i="13"/>
  <c r="AD101" i="13"/>
  <c r="AE101" i="13"/>
  <c r="AF101" i="13"/>
  <c r="AA102" i="13"/>
  <c r="AB102" i="13"/>
  <c r="AC102" i="13"/>
  <c r="AD102" i="13"/>
  <c r="AE102" i="13"/>
  <c r="AF102" i="13"/>
  <c r="AA103" i="13"/>
  <c r="AB103" i="13"/>
  <c r="AC103" i="13"/>
  <c r="AD103" i="13"/>
  <c r="AE103" i="13"/>
  <c r="AF103" i="13"/>
  <c r="AA104" i="13"/>
  <c r="AB104" i="13"/>
  <c r="AC104" i="13"/>
  <c r="AD104" i="13"/>
  <c r="AE104" i="13"/>
  <c r="AF104" i="13"/>
  <c r="AA105" i="13"/>
  <c r="AB105" i="13"/>
  <c r="AC105" i="13"/>
  <c r="AD105" i="13"/>
  <c r="AE105" i="13"/>
  <c r="AF105" i="13"/>
  <c r="AA106" i="13"/>
  <c r="AB106" i="13"/>
  <c r="AC106" i="13"/>
  <c r="AD106" i="13"/>
  <c r="AE106" i="13"/>
  <c r="AF106" i="13"/>
  <c r="AA108" i="13"/>
  <c r="AB108" i="13"/>
  <c r="AC108" i="13"/>
  <c r="AD108" i="13"/>
  <c r="AE108" i="13"/>
  <c r="AF108" i="13"/>
  <c r="AA109" i="13"/>
  <c r="AB109" i="13"/>
  <c r="AC109" i="13"/>
  <c r="AD109" i="13"/>
  <c r="AE109" i="13"/>
  <c r="AF109" i="13"/>
  <c r="AA110" i="13"/>
  <c r="AB110" i="13"/>
  <c r="AC110" i="13"/>
  <c r="AD110" i="13"/>
  <c r="AE110" i="13"/>
  <c r="AF110" i="13"/>
  <c r="AA111" i="13"/>
  <c r="AB111" i="13"/>
  <c r="AC111" i="13"/>
  <c r="AD111" i="13"/>
  <c r="AE111" i="13"/>
  <c r="AF111" i="13"/>
  <c r="AA112" i="13"/>
  <c r="AB112" i="13"/>
  <c r="AC112" i="13"/>
  <c r="AD112" i="13"/>
  <c r="AE112" i="13"/>
  <c r="AF112" i="13"/>
  <c r="AA113" i="13"/>
  <c r="AB113" i="13"/>
  <c r="AC113" i="13"/>
  <c r="AD113" i="13"/>
  <c r="AE113" i="13"/>
  <c r="AF113" i="13"/>
  <c r="AA114" i="13"/>
  <c r="AB114" i="13"/>
  <c r="AC114" i="13"/>
  <c r="AD114" i="13"/>
  <c r="AE114" i="13"/>
  <c r="AF114" i="13"/>
  <c r="AA115" i="13"/>
  <c r="AB115" i="13"/>
  <c r="AC115" i="13"/>
  <c r="AD115" i="13"/>
  <c r="AE115" i="13"/>
  <c r="AF115" i="13"/>
  <c r="AA116" i="13"/>
  <c r="AB116" i="13"/>
  <c r="AC116" i="13"/>
  <c r="AD116" i="13"/>
  <c r="AE116" i="13"/>
  <c r="AF116" i="13"/>
  <c r="AA117" i="13"/>
  <c r="AB117" i="13"/>
  <c r="AC117" i="13"/>
  <c r="AD117" i="13"/>
  <c r="AE117" i="13"/>
  <c r="AF117" i="13"/>
  <c r="AA118" i="13"/>
  <c r="AB118" i="13"/>
  <c r="AC118" i="13"/>
  <c r="AD118" i="13"/>
  <c r="AE118" i="13"/>
  <c r="AF118" i="13"/>
  <c r="AA119" i="13"/>
  <c r="AB119" i="13"/>
  <c r="AC119" i="13"/>
  <c r="AD119" i="13"/>
  <c r="AE119" i="13"/>
  <c r="AF119" i="13"/>
  <c r="AA120" i="13"/>
  <c r="AB120" i="13"/>
  <c r="AC120" i="13"/>
  <c r="AD120" i="13"/>
  <c r="AE120" i="13"/>
  <c r="AF120" i="13"/>
  <c r="AA121" i="13"/>
  <c r="AB121" i="13"/>
  <c r="AC121" i="13"/>
  <c r="AD121" i="13"/>
  <c r="AE121" i="13"/>
  <c r="AF121" i="13"/>
  <c r="AA122" i="13"/>
  <c r="AB122" i="13"/>
  <c r="AC122" i="13"/>
  <c r="AD122" i="13"/>
  <c r="AE122" i="13"/>
  <c r="AF122" i="13"/>
  <c r="AA123" i="13"/>
  <c r="AB123" i="13"/>
  <c r="AC123" i="13"/>
  <c r="AD123" i="13"/>
  <c r="AE123" i="13"/>
  <c r="AF123" i="13"/>
  <c r="AA124" i="13"/>
  <c r="AB124" i="13"/>
  <c r="AC124" i="13"/>
  <c r="AD124" i="13"/>
  <c r="AE124" i="13"/>
  <c r="AF124" i="13"/>
  <c r="AA125" i="13"/>
  <c r="AB125" i="13"/>
  <c r="AC125" i="13"/>
  <c r="AD125" i="13"/>
  <c r="AE125" i="13"/>
  <c r="AF125" i="13"/>
  <c r="AA126" i="13"/>
  <c r="AB126" i="13"/>
  <c r="AC126" i="13"/>
  <c r="AD126" i="13"/>
  <c r="AE126" i="13"/>
  <c r="AF126" i="13"/>
  <c r="AA127" i="13"/>
  <c r="AB127" i="13"/>
  <c r="AC127" i="13"/>
  <c r="AD127" i="13"/>
  <c r="AE127" i="13"/>
  <c r="AF127" i="13"/>
  <c r="AA128" i="13"/>
  <c r="AB128" i="13"/>
  <c r="AC128" i="13"/>
  <c r="AD128" i="13"/>
  <c r="AE128" i="13"/>
  <c r="AF128" i="13"/>
  <c r="AA129" i="13"/>
  <c r="AB129" i="13"/>
  <c r="AC129" i="13"/>
  <c r="AD129" i="13"/>
  <c r="AE129" i="13"/>
  <c r="AF129" i="13"/>
  <c r="AA130" i="13"/>
  <c r="AB130" i="13"/>
  <c r="AC130" i="13"/>
  <c r="AD130" i="13"/>
  <c r="AE130" i="13"/>
  <c r="AF130" i="13"/>
  <c r="AA131" i="13"/>
  <c r="AB131" i="13"/>
  <c r="AC131" i="13"/>
  <c r="AD131" i="13"/>
  <c r="AE131" i="13"/>
  <c r="AF131" i="13"/>
  <c r="AA132" i="13"/>
  <c r="AB132" i="13"/>
  <c r="AC132" i="13"/>
  <c r="AD132" i="13"/>
  <c r="AE132" i="13"/>
  <c r="AF132" i="13"/>
  <c r="AA133" i="13"/>
  <c r="AB133" i="13"/>
  <c r="AC133" i="13"/>
  <c r="AD133" i="13"/>
  <c r="AE133" i="13"/>
  <c r="AF133" i="13"/>
  <c r="AA134" i="13"/>
  <c r="AB134" i="13"/>
  <c r="AC134" i="13"/>
  <c r="AD134" i="13"/>
  <c r="AE134" i="13"/>
  <c r="AF134" i="13"/>
  <c r="AA135" i="13"/>
  <c r="AB135" i="13"/>
  <c r="AC135" i="13"/>
  <c r="AD135" i="13"/>
  <c r="AE135" i="13"/>
  <c r="AF135" i="13"/>
  <c r="AA136" i="13"/>
  <c r="AB136" i="13"/>
  <c r="AC136" i="13"/>
  <c r="AD136" i="13"/>
  <c r="AE136" i="13"/>
  <c r="AF136" i="13"/>
  <c r="AA137" i="13"/>
  <c r="AB137" i="13"/>
  <c r="AC137" i="13"/>
  <c r="AD137" i="13"/>
  <c r="AE137" i="13"/>
  <c r="AF137" i="13"/>
  <c r="AA138" i="13"/>
  <c r="AB138" i="13"/>
  <c r="AC138" i="13"/>
  <c r="AD138" i="13"/>
  <c r="AE138" i="13"/>
  <c r="AF138" i="13"/>
  <c r="AA139" i="13"/>
  <c r="AB139" i="13"/>
  <c r="AC139" i="13"/>
  <c r="AD139" i="13"/>
  <c r="AE139" i="13"/>
  <c r="AF139" i="13"/>
  <c r="AA140" i="13"/>
  <c r="AB140" i="13"/>
  <c r="AC140" i="13"/>
  <c r="AD140" i="13"/>
  <c r="AE140" i="13"/>
  <c r="AF140" i="13"/>
  <c r="AA142" i="13"/>
  <c r="AB142" i="13"/>
  <c r="AC142" i="13"/>
  <c r="AD142" i="13"/>
  <c r="AE142" i="13"/>
  <c r="AF142" i="13"/>
  <c r="AA143" i="13"/>
  <c r="AB143" i="13"/>
  <c r="AC143" i="13"/>
  <c r="AD143" i="13"/>
  <c r="AE143" i="13"/>
  <c r="AF143" i="13"/>
  <c r="AA144" i="13"/>
  <c r="AB144" i="13"/>
  <c r="AC144" i="13"/>
  <c r="AD144" i="13"/>
  <c r="AE144" i="13"/>
  <c r="AF144" i="13"/>
  <c r="AA145" i="13"/>
  <c r="AB145" i="13"/>
  <c r="AC145" i="13"/>
  <c r="AD145" i="13"/>
  <c r="AE145" i="13"/>
  <c r="AF145" i="13"/>
  <c r="AA146" i="13"/>
  <c r="AB146" i="13"/>
  <c r="AC146" i="13"/>
  <c r="AD146" i="13"/>
  <c r="AE146" i="13"/>
  <c r="AF146" i="13"/>
  <c r="AA147" i="13"/>
  <c r="AB147" i="13"/>
  <c r="AC147" i="13"/>
  <c r="AD147" i="13"/>
  <c r="AE147" i="13"/>
  <c r="AF147" i="13"/>
  <c r="AA148" i="13"/>
  <c r="AB148" i="13"/>
  <c r="AC148" i="13"/>
  <c r="AD148" i="13"/>
  <c r="AE148" i="13"/>
  <c r="AF148" i="13"/>
  <c r="AA149" i="13"/>
  <c r="AB149" i="13"/>
  <c r="AC149" i="13"/>
  <c r="AD149" i="13"/>
  <c r="AE149" i="13"/>
  <c r="AF149" i="13"/>
  <c r="AA150" i="13"/>
  <c r="AB150" i="13"/>
  <c r="AC150" i="13"/>
  <c r="AD150" i="13"/>
  <c r="AE150" i="13"/>
  <c r="AF150" i="13"/>
  <c r="AA151" i="13"/>
  <c r="AB151" i="13"/>
  <c r="AC151" i="13"/>
  <c r="AD151" i="13"/>
  <c r="AE151" i="13"/>
  <c r="AF151" i="13"/>
  <c r="AA152" i="13"/>
  <c r="AB152" i="13"/>
  <c r="AC152" i="13"/>
  <c r="AD152" i="13"/>
  <c r="AE152" i="13"/>
  <c r="AF152" i="13"/>
  <c r="AA153" i="13"/>
  <c r="AB153" i="13"/>
  <c r="AC153" i="13"/>
  <c r="AD153" i="13"/>
  <c r="AE153" i="13"/>
  <c r="AF153" i="13"/>
  <c r="AA154" i="13"/>
  <c r="AB154" i="13"/>
  <c r="AC154" i="13"/>
  <c r="AD154" i="13"/>
  <c r="AE154" i="13"/>
  <c r="AF154" i="13"/>
  <c r="AA155" i="13"/>
  <c r="AB155" i="13"/>
  <c r="AC155" i="13"/>
  <c r="AD155" i="13"/>
  <c r="AE155" i="13"/>
  <c r="AF155" i="13"/>
  <c r="AA156" i="13"/>
  <c r="AB156" i="13"/>
  <c r="AC156" i="13"/>
  <c r="AD156" i="13"/>
  <c r="AE156" i="13"/>
  <c r="AF156" i="13"/>
  <c r="AA157" i="13"/>
  <c r="AB157" i="13"/>
  <c r="AC157" i="13"/>
  <c r="AD157" i="13"/>
  <c r="AE157" i="13"/>
  <c r="AF157" i="13"/>
  <c r="AA158" i="13"/>
  <c r="AB158" i="13"/>
  <c r="AC158" i="13"/>
  <c r="AD158" i="13"/>
  <c r="AE158" i="13"/>
  <c r="AF158" i="13"/>
  <c r="AA159" i="13"/>
  <c r="AB159" i="13"/>
  <c r="AC159" i="13"/>
  <c r="AD159" i="13"/>
  <c r="AE159" i="13"/>
  <c r="AF159" i="13"/>
  <c r="AA160" i="13"/>
  <c r="AB160" i="13"/>
  <c r="AC160" i="13"/>
  <c r="AD160" i="13"/>
  <c r="AE160" i="13"/>
  <c r="AF160" i="13"/>
  <c r="AA161" i="13"/>
  <c r="AB161" i="13"/>
  <c r="AC161" i="13"/>
  <c r="AD161" i="13"/>
  <c r="AE161" i="13"/>
  <c r="AF161" i="13"/>
  <c r="AA162" i="13"/>
  <c r="AB162" i="13"/>
  <c r="AC162" i="13"/>
  <c r="AD162" i="13"/>
  <c r="AE162" i="13"/>
  <c r="AF162" i="13"/>
  <c r="AA163" i="13"/>
  <c r="AB163" i="13"/>
  <c r="AC163" i="13"/>
  <c r="AD163" i="13"/>
  <c r="AE163" i="13"/>
  <c r="AF163" i="13"/>
  <c r="AA164" i="13"/>
  <c r="AB164" i="13"/>
  <c r="AC164" i="13"/>
  <c r="AD164" i="13"/>
  <c r="AE164" i="13"/>
  <c r="AF164" i="13"/>
  <c r="AA165" i="13"/>
  <c r="AB165" i="13"/>
  <c r="AC165" i="13"/>
  <c r="AD165" i="13"/>
  <c r="AE165" i="13"/>
  <c r="AF165" i="13"/>
  <c r="AA166" i="13"/>
  <c r="AB166" i="13"/>
  <c r="AC166" i="13"/>
  <c r="AD166" i="13"/>
  <c r="AE166" i="13"/>
  <c r="AF166" i="13"/>
  <c r="AA167" i="13"/>
  <c r="AB167" i="13"/>
  <c r="AC167" i="13"/>
  <c r="AD167" i="13"/>
  <c r="AE167" i="13"/>
  <c r="AF167" i="13"/>
  <c r="AA168" i="13"/>
  <c r="AB168" i="13"/>
  <c r="AC168" i="13"/>
  <c r="AD168" i="13"/>
  <c r="AE168" i="13"/>
  <c r="AF168" i="13"/>
  <c r="AA169" i="13"/>
  <c r="AB169" i="13"/>
  <c r="AC169" i="13"/>
  <c r="AD169" i="13"/>
  <c r="AE169" i="13"/>
  <c r="AF169" i="13"/>
  <c r="AA170" i="13"/>
  <c r="AB170" i="13"/>
  <c r="AC170" i="13"/>
  <c r="AD170" i="13"/>
  <c r="AE170" i="13"/>
  <c r="AF170" i="13"/>
  <c r="AA171" i="13"/>
  <c r="AB171" i="13"/>
  <c r="AC171" i="13"/>
  <c r="AD171" i="13"/>
  <c r="AE171" i="13"/>
  <c r="AF171" i="13"/>
  <c r="AA172" i="13"/>
  <c r="AB172" i="13"/>
  <c r="AC172" i="13"/>
  <c r="AD172" i="13"/>
  <c r="AE172" i="13"/>
  <c r="AF172" i="13"/>
  <c r="AA173" i="13"/>
  <c r="AB173" i="13"/>
  <c r="AC173" i="13"/>
  <c r="AD173" i="13"/>
  <c r="AE173" i="13"/>
  <c r="AF173" i="13"/>
  <c r="AA174" i="13"/>
  <c r="AB174" i="13"/>
  <c r="AC174" i="13"/>
  <c r="AD174" i="13"/>
  <c r="AE174" i="13"/>
  <c r="AF174" i="13"/>
  <c r="AA175" i="13"/>
  <c r="AB175" i="13"/>
  <c r="AC175" i="13"/>
  <c r="AD175" i="13"/>
  <c r="AE175" i="13"/>
  <c r="AF175" i="13"/>
  <c r="AA176" i="13"/>
  <c r="AB176" i="13"/>
  <c r="AC176" i="13"/>
  <c r="AD176" i="13"/>
  <c r="AE176" i="13"/>
  <c r="AF176" i="13"/>
  <c r="AA177" i="13"/>
  <c r="AB177" i="13"/>
  <c r="AC177" i="13"/>
  <c r="AD177" i="13"/>
  <c r="AE177" i="13"/>
  <c r="AF177" i="13"/>
  <c r="AA178" i="13"/>
  <c r="AB178" i="13"/>
  <c r="AC178" i="13"/>
  <c r="AD178" i="13"/>
  <c r="AE178" i="13"/>
  <c r="AF178" i="13"/>
  <c r="AA179" i="13"/>
  <c r="AB179" i="13"/>
  <c r="AC179" i="13"/>
  <c r="AD179" i="13"/>
  <c r="AE179" i="13"/>
  <c r="AF179" i="13"/>
  <c r="AA180" i="13"/>
  <c r="AB180" i="13"/>
  <c r="AC180" i="13"/>
  <c r="AD180" i="13"/>
  <c r="AE180" i="13"/>
  <c r="AF180" i="13"/>
  <c r="AA181" i="13"/>
  <c r="AB181" i="13"/>
  <c r="AC181" i="13"/>
  <c r="AD181" i="13"/>
  <c r="AE181" i="13"/>
  <c r="AF181" i="13"/>
  <c r="AA182" i="13"/>
  <c r="AB182" i="13"/>
  <c r="AC182" i="13"/>
  <c r="AD182" i="13"/>
  <c r="AE182" i="13"/>
  <c r="AF182" i="13"/>
  <c r="AA183" i="13"/>
  <c r="AB183" i="13"/>
  <c r="AC183" i="13"/>
  <c r="AD183" i="13"/>
  <c r="AE183" i="13"/>
  <c r="AF183" i="13"/>
  <c r="AA184" i="13"/>
  <c r="AB184" i="13"/>
  <c r="AC184" i="13"/>
  <c r="AD184" i="13"/>
  <c r="AE184" i="13"/>
  <c r="AF184" i="13"/>
  <c r="AA185" i="13"/>
  <c r="AB185" i="13"/>
  <c r="AC185" i="13"/>
  <c r="AD185" i="13"/>
  <c r="AE185" i="13"/>
  <c r="AF185" i="13"/>
  <c r="AA186" i="13"/>
  <c r="AB186" i="13"/>
  <c r="AC186" i="13"/>
  <c r="AD186" i="13"/>
  <c r="AE186" i="13"/>
  <c r="AF186" i="13"/>
  <c r="AA187" i="13"/>
  <c r="AB187" i="13"/>
  <c r="AC187" i="13"/>
  <c r="AD187" i="13"/>
  <c r="AE187" i="13"/>
  <c r="AF187" i="13"/>
  <c r="AA188" i="13"/>
  <c r="AB188" i="13"/>
  <c r="AC188" i="13"/>
  <c r="AD188" i="13"/>
  <c r="AE188" i="13"/>
  <c r="AF188" i="13"/>
  <c r="AA189" i="13"/>
  <c r="AB189" i="13"/>
  <c r="AC189" i="13"/>
  <c r="AD189" i="13"/>
  <c r="AE189" i="13"/>
  <c r="AF189" i="13"/>
  <c r="AA190" i="13"/>
  <c r="AB190" i="13"/>
  <c r="AC190" i="13"/>
  <c r="AD190" i="13"/>
  <c r="AE190" i="13"/>
  <c r="AF190" i="13"/>
  <c r="AA191" i="13"/>
  <c r="AB191" i="13"/>
  <c r="AC191" i="13"/>
  <c r="AD191" i="13"/>
  <c r="AE191" i="13"/>
  <c r="AF191" i="13"/>
  <c r="AA192" i="13"/>
  <c r="AB192" i="13"/>
  <c r="AC192" i="13"/>
  <c r="AD192" i="13"/>
  <c r="AE192" i="13"/>
  <c r="AF192" i="13"/>
  <c r="AA193" i="13"/>
  <c r="AB193" i="13"/>
  <c r="AC193" i="13"/>
  <c r="AD193" i="13"/>
  <c r="AE193" i="13"/>
  <c r="AF193" i="13"/>
  <c r="AA194" i="13"/>
  <c r="AB194" i="13"/>
  <c r="AC194" i="13"/>
  <c r="AD194" i="13"/>
  <c r="AE194" i="13"/>
  <c r="AF194" i="13"/>
  <c r="AA195" i="13"/>
  <c r="AB195" i="13"/>
  <c r="AC195" i="13"/>
  <c r="AD195" i="13"/>
  <c r="AE195" i="13"/>
  <c r="AF195" i="13"/>
  <c r="AA196" i="13"/>
  <c r="AB196" i="13"/>
  <c r="AC196" i="13"/>
  <c r="AD196" i="13"/>
  <c r="AE196" i="13"/>
  <c r="AF196" i="13"/>
  <c r="AA197" i="13"/>
  <c r="AB197" i="13"/>
  <c r="AC197" i="13"/>
  <c r="AD197" i="13"/>
  <c r="AE197" i="13"/>
  <c r="AF197" i="13"/>
  <c r="AA198" i="13"/>
  <c r="AB198" i="13"/>
  <c r="AC198" i="13"/>
  <c r="AD198" i="13"/>
  <c r="AE198" i="13"/>
  <c r="AF198" i="13"/>
  <c r="AA199" i="13"/>
  <c r="AB199" i="13"/>
  <c r="AC199" i="13"/>
  <c r="AD199" i="13"/>
  <c r="AE199" i="13"/>
  <c r="AF199" i="13"/>
  <c r="AA200" i="13"/>
  <c r="AB200" i="13"/>
  <c r="AC200" i="13"/>
  <c r="AD200" i="13"/>
  <c r="AE200" i="13"/>
  <c r="AF200" i="13"/>
  <c r="AA201" i="13"/>
  <c r="AB201" i="13"/>
  <c r="AC201" i="13"/>
  <c r="AD201" i="13"/>
  <c r="AE201" i="13"/>
  <c r="AF201" i="13"/>
  <c r="AA202" i="13"/>
  <c r="AB202" i="13"/>
  <c r="AC202" i="13"/>
  <c r="AD202" i="13"/>
  <c r="AE202" i="13"/>
  <c r="AF202" i="13"/>
  <c r="AA203" i="13"/>
  <c r="AB203" i="13"/>
  <c r="AC203" i="13"/>
  <c r="AD203" i="13"/>
  <c r="AE203" i="13"/>
  <c r="AF203" i="13"/>
  <c r="AA204" i="13"/>
  <c r="AB204" i="13"/>
  <c r="AC204" i="13"/>
  <c r="AD204" i="13"/>
  <c r="AE204" i="13"/>
  <c r="AF204" i="13"/>
  <c r="AA205" i="13"/>
  <c r="AB205" i="13"/>
  <c r="AC205" i="13"/>
  <c r="AD205" i="13"/>
  <c r="AE205" i="13"/>
  <c r="AF205" i="13"/>
  <c r="AA206" i="13"/>
  <c r="AB206" i="13"/>
  <c r="AC206" i="13"/>
  <c r="AD206" i="13"/>
  <c r="AE206" i="13"/>
  <c r="AF206" i="13"/>
  <c r="AA207" i="13"/>
  <c r="AB207" i="13"/>
  <c r="AC207" i="13"/>
  <c r="AD207" i="13"/>
  <c r="AE207" i="13"/>
  <c r="AF207" i="13"/>
  <c r="AA208" i="13"/>
  <c r="AB208" i="13"/>
  <c r="AC208" i="13"/>
  <c r="AD208" i="13"/>
  <c r="AE208" i="13"/>
  <c r="AF208" i="13"/>
  <c r="AA209" i="13"/>
  <c r="AB209" i="13"/>
  <c r="AC209" i="13"/>
  <c r="AD209" i="13"/>
  <c r="AE209" i="13"/>
  <c r="AF209" i="13"/>
  <c r="AA210" i="13"/>
  <c r="AB210" i="13"/>
  <c r="AC210" i="13"/>
  <c r="AD210" i="13"/>
  <c r="AE210" i="13"/>
  <c r="AF210" i="13"/>
  <c r="AA211" i="13"/>
  <c r="AB211" i="13"/>
  <c r="AC211" i="13"/>
  <c r="AD211" i="13"/>
  <c r="AE211" i="13"/>
  <c r="AF211" i="13"/>
  <c r="AA212" i="13"/>
  <c r="AB212" i="13"/>
  <c r="AC212" i="13"/>
  <c r="AD212" i="13"/>
  <c r="AE212" i="13"/>
  <c r="AF212" i="13"/>
  <c r="AA213" i="13"/>
  <c r="AB213" i="13"/>
  <c r="AC213" i="13"/>
  <c r="AD213" i="13"/>
  <c r="AE213" i="13"/>
  <c r="AF213" i="13"/>
  <c r="AA214" i="13"/>
  <c r="AB214" i="13"/>
  <c r="AC214" i="13"/>
  <c r="AD214" i="13"/>
  <c r="AE214" i="13"/>
  <c r="AF214" i="13"/>
  <c r="AA215" i="13"/>
  <c r="AB215" i="13"/>
  <c r="AC215" i="13"/>
  <c r="AD215" i="13"/>
  <c r="AE215" i="13"/>
  <c r="AF215" i="13"/>
  <c r="AA216" i="13"/>
  <c r="AB216" i="13"/>
  <c r="AC216" i="13"/>
  <c r="AD216" i="13"/>
  <c r="AE216" i="13"/>
  <c r="AF216" i="13"/>
  <c r="AA217" i="13"/>
  <c r="AB217" i="13"/>
  <c r="AC217" i="13"/>
  <c r="AD217" i="13"/>
  <c r="AE217" i="13"/>
  <c r="AF217" i="13"/>
  <c r="AA218" i="13"/>
  <c r="AB218" i="13"/>
  <c r="AC218" i="13"/>
  <c r="AD218" i="13"/>
  <c r="AE218" i="13"/>
  <c r="AF218" i="13"/>
  <c r="AA219" i="13"/>
  <c r="AB219" i="13"/>
  <c r="AC219" i="13"/>
  <c r="AD219" i="13"/>
  <c r="AE219" i="13"/>
  <c r="AF219" i="13"/>
  <c r="AA220" i="13"/>
  <c r="AB220" i="13"/>
  <c r="AC220" i="13"/>
  <c r="AD220" i="13"/>
  <c r="AE220" i="13"/>
  <c r="AF220" i="13"/>
  <c r="AA221" i="13"/>
  <c r="AB221" i="13"/>
  <c r="AC221" i="13"/>
  <c r="AD221" i="13"/>
  <c r="AE221" i="13"/>
  <c r="AF221" i="13"/>
  <c r="AA222" i="13"/>
  <c r="AB222" i="13"/>
  <c r="AC222" i="13"/>
  <c r="AD222" i="13"/>
  <c r="AE222" i="13"/>
  <c r="AF222" i="13"/>
  <c r="AA223" i="13"/>
  <c r="AB223" i="13"/>
  <c r="AC223" i="13"/>
  <c r="AD223" i="13"/>
  <c r="AE223" i="13"/>
  <c r="AF223" i="13"/>
  <c r="AA224" i="13"/>
  <c r="AB224" i="13"/>
  <c r="AC224" i="13"/>
  <c r="AD224" i="13"/>
  <c r="AE224" i="13"/>
  <c r="AF224" i="13"/>
  <c r="AA225" i="13"/>
  <c r="AB225" i="13"/>
  <c r="AC225" i="13"/>
  <c r="AD225" i="13"/>
  <c r="AE225" i="13"/>
  <c r="AF225" i="13"/>
  <c r="AA226" i="13"/>
  <c r="AB226" i="13"/>
  <c r="AC226" i="13"/>
  <c r="AD226" i="13"/>
  <c r="AE226" i="13"/>
  <c r="AF226" i="13"/>
  <c r="AA227" i="13"/>
  <c r="AB227" i="13"/>
  <c r="AC227" i="13"/>
  <c r="AD227" i="13"/>
  <c r="AE227" i="13"/>
  <c r="AF227" i="13"/>
  <c r="AA228" i="13"/>
  <c r="AB228" i="13"/>
  <c r="AC228" i="13"/>
  <c r="AD228" i="13"/>
  <c r="AE228" i="13"/>
  <c r="AF228" i="13"/>
  <c r="AA229" i="13"/>
  <c r="AB229" i="13"/>
  <c r="AC229" i="13"/>
  <c r="AD229" i="13"/>
  <c r="AE229" i="13"/>
  <c r="AF229" i="13"/>
  <c r="AA230" i="13"/>
  <c r="AB230" i="13"/>
  <c r="AC230" i="13"/>
  <c r="AD230" i="13"/>
  <c r="AE230" i="13"/>
  <c r="AF230" i="13"/>
  <c r="AA231" i="13"/>
  <c r="AB231" i="13"/>
  <c r="AC231" i="13"/>
  <c r="AD231" i="13"/>
  <c r="AE231" i="13"/>
  <c r="AF231" i="13"/>
  <c r="AA232" i="13"/>
  <c r="AB232" i="13"/>
  <c r="AC232" i="13"/>
  <c r="AD232" i="13"/>
  <c r="AE232" i="13"/>
  <c r="AF232" i="13"/>
  <c r="AA233" i="13"/>
  <c r="AB233" i="13"/>
  <c r="AC233" i="13"/>
  <c r="AD233" i="13"/>
  <c r="AE233" i="13"/>
  <c r="AF233" i="13"/>
  <c r="AA234" i="13"/>
  <c r="AB234" i="13"/>
  <c r="AC234" i="13"/>
  <c r="AD234" i="13"/>
  <c r="AE234" i="13"/>
  <c r="AF234" i="13"/>
  <c r="AA235" i="13"/>
  <c r="AB235" i="13"/>
  <c r="AC235" i="13"/>
  <c r="AD235" i="13"/>
  <c r="AE235" i="13"/>
  <c r="AF235" i="13"/>
  <c r="AA236" i="13"/>
  <c r="AB236" i="13"/>
  <c r="AC236" i="13"/>
  <c r="AD236" i="13"/>
  <c r="AE236" i="13"/>
  <c r="AF236" i="13"/>
  <c r="AA237" i="13"/>
  <c r="AB237" i="13"/>
  <c r="AC237" i="13"/>
  <c r="AD237" i="13"/>
  <c r="AE237" i="13"/>
  <c r="AF237" i="13"/>
  <c r="AA238" i="13"/>
  <c r="AB238" i="13"/>
  <c r="AC238" i="13"/>
  <c r="AD238" i="13"/>
  <c r="AE238" i="13"/>
  <c r="AF238" i="13"/>
  <c r="AA239" i="13"/>
  <c r="AB239" i="13"/>
  <c r="AC239" i="13"/>
  <c r="AD239" i="13"/>
  <c r="AE239" i="13"/>
  <c r="AF239" i="13"/>
  <c r="AA240" i="13"/>
  <c r="AB240" i="13"/>
  <c r="AC240" i="13"/>
  <c r="AD240" i="13"/>
  <c r="AE240" i="13"/>
  <c r="AF240" i="13"/>
  <c r="AA241" i="13"/>
  <c r="AB241" i="13"/>
  <c r="AC241" i="13"/>
  <c r="AD241" i="13"/>
  <c r="AE241" i="13"/>
  <c r="AF241" i="13"/>
  <c r="AA242" i="13"/>
  <c r="AB242" i="13"/>
  <c r="AC242" i="13"/>
  <c r="AD242" i="13"/>
  <c r="AE242" i="13"/>
  <c r="AF242" i="13"/>
  <c r="AA243" i="13"/>
  <c r="AB243" i="13"/>
  <c r="AC243" i="13"/>
  <c r="AD243" i="13"/>
  <c r="AE243" i="13"/>
  <c r="AF243" i="13"/>
  <c r="AA244" i="13"/>
  <c r="AB244" i="13"/>
  <c r="AC244" i="13"/>
  <c r="AD244" i="13"/>
  <c r="AE244" i="13"/>
  <c r="AF244" i="13"/>
  <c r="AA245" i="13"/>
  <c r="AB245" i="13"/>
  <c r="AC245" i="13"/>
  <c r="AD245" i="13"/>
  <c r="AE245" i="13"/>
  <c r="AF245" i="13"/>
  <c r="AA246" i="13"/>
  <c r="AB246" i="13"/>
  <c r="AC246" i="13"/>
  <c r="AD246" i="13"/>
  <c r="AE246" i="13"/>
  <c r="AF246" i="13"/>
  <c r="AA247" i="13"/>
  <c r="AB247" i="13"/>
  <c r="AC247" i="13"/>
  <c r="AD247" i="13"/>
  <c r="AE247" i="13"/>
  <c r="AF247" i="13"/>
  <c r="AA248" i="13"/>
  <c r="AB248" i="13"/>
  <c r="AC248" i="13"/>
  <c r="AD248" i="13"/>
  <c r="AE248" i="13"/>
  <c r="AF248" i="13"/>
  <c r="AA249" i="13"/>
  <c r="AB249" i="13"/>
  <c r="AC249" i="13"/>
  <c r="AD249" i="13"/>
  <c r="AE249" i="13"/>
  <c r="AF249" i="13"/>
  <c r="AA250" i="13"/>
  <c r="AB250" i="13"/>
  <c r="AC250" i="13"/>
  <c r="AD250" i="13"/>
  <c r="AE250" i="13"/>
  <c r="AF250" i="13"/>
  <c r="AA251" i="13"/>
  <c r="AB251" i="13"/>
  <c r="AC251" i="13"/>
  <c r="AD251" i="13"/>
  <c r="AE251" i="13"/>
  <c r="AF251" i="13"/>
  <c r="AA252" i="13"/>
  <c r="AB252" i="13"/>
  <c r="AC252" i="13"/>
  <c r="AD252" i="13"/>
  <c r="AE252" i="13"/>
  <c r="AF252" i="13"/>
  <c r="AA253" i="13"/>
  <c r="AB253" i="13"/>
  <c r="AC253" i="13"/>
  <c r="AD253" i="13"/>
  <c r="AE253" i="13"/>
  <c r="AF253" i="13"/>
  <c r="AA254" i="13"/>
  <c r="AB254" i="13"/>
  <c r="AC254" i="13"/>
  <c r="AD254" i="13"/>
  <c r="AE254" i="13"/>
  <c r="AF254" i="13"/>
  <c r="AA255" i="13"/>
  <c r="AB255" i="13"/>
  <c r="AC255" i="13"/>
  <c r="AD255" i="13"/>
  <c r="AE255" i="13"/>
  <c r="AF255" i="13"/>
  <c r="AA256" i="13"/>
  <c r="AB256" i="13"/>
  <c r="AC256" i="13"/>
  <c r="AD256" i="13"/>
  <c r="AE256" i="13"/>
  <c r="AF256" i="13"/>
  <c r="AA257" i="13"/>
  <c r="AB257" i="13"/>
  <c r="AC257" i="13"/>
  <c r="AD257" i="13"/>
  <c r="AE257" i="13"/>
  <c r="AF257" i="13"/>
  <c r="AA258" i="13"/>
  <c r="AB258" i="13"/>
  <c r="AC258" i="13"/>
  <c r="AD258" i="13"/>
  <c r="AE258" i="13"/>
  <c r="AF258" i="13"/>
  <c r="AA259" i="13"/>
  <c r="AB259" i="13"/>
  <c r="AC259" i="13"/>
  <c r="AD259" i="13"/>
  <c r="AE259" i="13"/>
  <c r="AF259" i="13"/>
  <c r="AA260" i="13"/>
  <c r="AB260" i="13"/>
  <c r="AC260" i="13"/>
  <c r="AD260" i="13"/>
  <c r="AE260" i="13"/>
  <c r="AF260" i="13"/>
  <c r="AE3" i="13"/>
  <c r="AF3" i="13"/>
  <c r="AE4" i="13"/>
  <c r="AF4" i="13"/>
  <c r="AE5" i="13"/>
  <c r="AF5" i="13"/>
  <c r="AE6" i="13"/>
  <c r="AF6" i="13"/>
  <c r="AE7" i="13"/>
  <c r="AF7" i="13"/>
  <c r="AE8" i="13"/>
  <c r="AF8" i="13"/>
  <c r="AE9" i="13"/>
  <c r="AF9" i="13"/>
  <c r="AE10" i="13"/>
  <c r="AF10" i="13"/>
  <c r="AE11" i="13"/>
  <c r="AF11" i="13"/>
  <c r="AE12" i="13"/>
  <c r="AF12" i="13"/>
  <c r="AE13" i="13"/>
  <c r="AF13" i="13"/>
  <c r="AE14" i="13"/>
  <c r="AF14" i="13"/>
  <c r="AE15" i="13"/>
  <c r="AF15" i="13"/>
  <c r="AE16" i="13"/>
  <c r="AF16" i="13"/>
  <c r="AE26" i="13"/>
  <c r="AF26" i="13"/>
  <c r="AE27" i="13"/>
  <c r="AF27" i="13"/>
  <c r="AE28" i="13"/>
  <c r="AF28" i="13"/>
  <c r="AE35" i="13"/>
  <c r="AF35" i="13"/>
  <c r="AE36" i="13"/>
  <c r="AF36" i="13"/>
  <c r="AE37" i="13"/>
  <c r="AF37" i="13"/>
  <c r="AF2" i="13"/>
  <c r="AE2" i="13"/>
  <c r="AC2" i="13"/>
  <c r="AC3" i="13"/>
  <c r="AD3" i="13"/>
  <c r="AC4" i="13"/>
  <c r="AD4" i="13"/>
  <c r="AC5" i="13"/>
  <c r="AD5" i="13"/>
  <c r="AC6" i="13"/>
  <c r="AD6" i="13"/>
  <c r="AC7" i="13"/>
  <c r="AD7" i="13"/>
  <c r="AC8" i="13"/>
  <c r="AD8" i="13"/>
  <c r="AC9" i="13"/>
  <c r="AD9" i="13"/>
  <c r="AC10" i="13"/>
  <c r="AD10" i="13"/>
  <c r="AC11" i="13"/>
  <c r="AD11" i="13"/>
  <c r="AC12" i="13"/>
  <c r="AD12" i="13"/>
  <c r="AC13" i="13"/>
  <c r="AD13" i="13"/>
  <c r="AC14" i="13"/>
  <c r="AD14" i="13"/>
  <c r="AC15" i="13"/>
  <c r="AD15" i="13"/>
  <c r="AC16" i="13"/>
  <c r="AD16" i="13"/>
  <c r="AC26" i="13"/>
  <c r="AD26" i="13"/>
  <c r="AC27" i="13"/>
  <c r="AD27" i="13"/>
  <c r="AC28" i="13"/>
  <c r="AD28" i="13"/>
  <c r="AC35" i="13"/>
  <c r="AD35" i="13"/>
  <c r="AC36" i="13"/>
  <c r="AD36" i="13"/>
  <c r="AC37" i="13"/>
  <c r="AD37" i="13"/>
  <c r="AD2" i="13"/>
  <c r="AB3" i="13"/>
  <c r="AB4" i="13"/>
  <c r="AB5" i="13"/>
  <c r="AB6" i="13"/>
  <c r="AB7" i="13"/>
  <c r="AB8" i="13"/>
  <c r="AB9" i="13"/>
  <c r="AB10" i="13"/>
  <c r="AB11" i="13"/>
  <c r="AB12" i="13"/>
  <c r="AB13" i="13"/>
  <c r="AB14" i="13"/>
  <c r="AB15" i="13"/>
  <c r="AB16" i="13"/>
  <c r="AB26" i="13"/>
  <c r="AB27" i="13"/>
  <c r="AB28" i="13"/>
  <c r="AB35" i="13"/>
  <c r="AB36" i="13"/>
  <c r="AB37" i="13"/>
  <c r="AB2" i="13"/>
  <c r="AA2" i="13"/>
  <c r="AA3" i="13"/>
  <c r="AA4" i="13"/>
  <c r="AA5" i="13"/>
  <c r="AA6" i="13"/>
  <c r="AA7" i="13"/>
  <c r="AA8" i="13"/>
  <c r="AA9" i="13"/>
  <c r="AA10" i="13"/>
  <c r="AA11" i="13"/>
  <c r="AA12" i="13"/>
  <c r="AA13" i="13"/>
  <c r="AA14" i="13"/>
  <c r="AA15" i="13"/>
  <c r="AA16" i="13"/>
  <c r="AA26" i="13"/>
  <c r="AA27" i="13"/>
  <c r="AA28" i="13"/>
  <c r="AA35" i="13"/>
  <c r="AA36" i="13"/>
  <c r="AA37" i="13"/>
  <c r="B36" i="8"/>
  <c r="AR16" i="13"/>
  <c r="AR15" i="13"/>
  <c r="AR14" i="13"/>
  <c r="AR13" i="13"/>
  <c r="T13" i="13"/>
  <c r="T14" i="13"/>
  <c r="T15" i="13"/>
  <c r="T16" i="13"/>
  <c r="AR12" i="13"/>
  <c r="T12" i="13"/>
  <c r="P12" i="13"/>
  <c r="AR95" i="13"/>
  <c r="AR96" i="13"/>
  <c r="AR98" i="13"/>
  <c r="AR99" i="13"/>
  <c r="AR100" i="13"/>
  <c r="AR231" i="13"/>
  <c r="AR232" i="13"/>
  <c r="AR233" i="13"/>
  <c r="AR234" i="13"/>
  <c r="AR235" i="13"/>
  <c r="AR236" i="13"/>
  <c r="AR237" i="13"/>
  <c r="AR238" i="13"/>
  <c r="AR239" i="13"/>
  <c r="AR240" i="13"/>
  <c r="AR241" i="13"/>
  <c r="AR242" i="13"/>
  <c r="AR243" i="13"/>
  <c r="AR244" i="13"/>
  <c r="AR245" i="13"/>
  <c r="AR246" i="13"/>
  <c r="AR247" i="13"/>
  <c r="AR248" i="13"/>
  <c r="AR249" i="13"/>
  <c r="AR250" i="13"/>
  <c r="AR26" i="13"/>
  <c r="AR27" i="13"/>
  <c r="AR28" i="13"/>
  <c r="AR35" i="13"/>
  <c r="AR36" i="13"/>
  <c r="AR37" i="13"/>
  <c r="AR103" i="13"/>
  <c r="AR104" i="13"/>
  <c r="AR105" i="13"/>
  <c r="AR106" i="13"/>
  <c r="AR149" i="13"/>
  <c r="AR150" i="13"/>
  <c r="AR151" i="13"/>
  <c r="AR152" i="13"/>
  <c r="AR153" i="13"/>
  <c r="AR154" i="13"/>
  <c r="AR2" i="13"/>
  <c r="AR3" i="13"/>
  <c r="AR251" i="13"/>
  <c r="AR252" i="13"/>
  <c r="AR253" i="13"/>
  <c r="AR254" i="13"/>
  <c r="AR255" i="13"/>
  <c r="AR256" i="13"/>
  <c r="AR257" i="13"/>
  <c r="AR258" i="13"/>
  <c r="AR259" i="13"/>
  <c r="AR260" i="13"/>
  <c r="AR4" i="13"/>
  <c r="AR5" i="13"/>
  <c r="AR6" i="13"/>
  <c r="AR7" i="13"/>
  <c r="AR8" i="13"/>
  <c r="AR9" i="13"/>
  <c r="AR10" i="13"/>
  <c r="AR11" i="13"/>
  <c r="AR101" i="13"/>
  <c r="AR102" i="13"/>
  <c r="AR97" i="13"/>
  <c r="P10" i="13"/>
  <c r="P11" i="13"/>
  <c r="T9" i="13"/>
  <c r="T10" i="13"/>
  <c r="T11" i="13"/>
  <c r="AN5" i="13"/>
  <c r="AN7" i="13"/>
  <c r="AN9" i="13"/>
  <c r="T5" i="13"/>
  <c r="T6" i="13"/>
  <c r="T7" i="13"/>
  <c r="T8" i="13"/>
  <c r="P5" i="13"/>
  <c r="P6" i="13"/>
  <c r="P7" i="13"/>
  <c r="P8" i="13"/>
  <c r="P9" i="13"/>
  <c r="P4" i="13"/>
  <c r="T4" i="13"/>
  <c r="T260" i="13"/>
  <c r="P260" i="13"/>
  <c r="T259" i="13"/>
  <c r="P259" i="13"/>
  <c r="T258" i="13"/>
  <c r="P258" i="13"/>
  <c r="T257" i="13"/>
  <c r="P257" i="13"/>
  <c r="T256" i="13"/>
  <c r="P256" i="13"/>
  <c r="T255" i="13"/>
  <c r="P255" i="13"/>
  <c r="T254" i="13"/>
  <c r="P254" i="13"/>
  <c r="T253" i="13"/>
  <c r="P253" i="13"/>
  <c r="T252" i="13"/>
  <c r="P252" i="13"/>
  <c r="T251" i="13"/>
  <c r="P251" i="13"/>
  <c r="T154" i="13"/>
  <c r="P154" i="13"/>
  <c r="T153" i="13"/>
  <c r="P153" i="13"/>
  <c r="T152" i="13"/>
  <c r="P152" i="13"/>
  <c r="T151" i="13"/>
  <c r="P151" i="13"/>
  <c r="T150" i="13"/>
  <c r="P150" i="13"/>
  <c r="T149" i="13"/>
  <c r="P149" i="13"/>
  <c r="T68" i="13"/>
  <c r="T67" i="13"/>
  <c r="T66" i="13"/>
  <c r="T65" i="13"/>
  <c r="T78" i="13"/>
  <c r="T77" i="13"/>
  <c r="T76" i="13"/>
  <c r="T75" i="13"/>
  <c r="T74" i="13"/>
  <c r="T105" i="13"/>
  <c r="T104" i="13"/>
  <c r="T103" i="13"/>
  <c r="T37" i="13"/>
  <c r="T36" i="13"/>
  <c r="T35" i="13"/>
  <c r="T28" i="13"/>
  <c r="T27" i="13"/>
  <c r="T26" i="13"/>
  <c r="T250" i="13"/>
  <c r="T249" i="13"/>
  <c r="T248" i="13"/>
  <c r="T247" i="13"/>
  <c r="T246" i="13"/>
  <c r="T245" i="13"/>
  <c r="T244" i="13"/>
  <c r="T243" i="13"/>
  <c r="T242" i="13"/>
  <c r="T241" i="13"/>
  <c r="T240" i="13"/>
  <c r="T239" i="13"/>
  <c r="T238" i="13"/>
  <c r="T237" i="13"/>
  <c r="T236" i="13"/>
  <c r="T235" i="13"/>
  <c r="T234" i="13"/>
  <c r="T233" i="13"/>
  <c r="T232" i="13"/>
  <c r="T231" i="13"/>
  <c r="T100" i="13"/>
  <c r="T99" i="13"/>
  <c r="T98" i="13"/>
  <c r="T97" i="13"/>
  <c r="T102" i="13"/>
  <c r="T101" i="13"/>
  <c r="T230" i="13"/>
  <c r="T229" i="13"/>
  <c r="T228" i="13"/>
  <c r="T227" i="13"/>
  <c r="T226" i="13"/>
  <c r="T225" i="13"/>
  <c r="T224" i="13"/>
  <c r="T223" i="13"/>
  <c r="T222" i="13"/>
  <c r="T221" i="13"/>
  <c r="T220" i="13"/>
  <c r="T219" i="13"/>
  <c r="T218" i="13"/>
  <c r="T217" i="13"/>
  <c r="T216" i="13"/>
  <c r="T215" i="13"/>
  <c r="T214" i="13"/>
  <c r="T213" i="13"/>
  <c r="T212" i="13"/>
  <c r="T211" i="13"/>
  <c r="T210" i="13"/>
  <c r="T209" i="13"/>
  <c r="T208" i="13"/>
  <c r="T207" i="13"/>
  <c r="T206" i="13"/>
  <c r="T205" i="13"/>
  <c r="T204" i="13"/>
  <c r="T203" i="13"/>
  <c r="T202" i="13"/>
  <c r="T201" i="13"/>
  <c r="T200" i="13"/>
  <c r="T199" i="13"/>
  <c r="T198" i="13"/>
  <c r="T197" i="13"/>
  <c r="T196" i="13"/>
  <c r="T195" i="13"/>
  <c r="T194" i="13"/>
  <c r="T193" i="13"/>
  <c r="T192" i="13"/>
  <c r="T191" i="13"/>
  <c r="T190" i="13"/>
  <c r="T189" i="13"/>
  <c r="T188" i="13"/>
  <c r="T187" i="13"/>
  <c r="T186" i="13"/>
  <c r="T185" i="13"/>
  <c r="T184" i="13"/>
  <c r="T183" i="13"/>
  <c r="T182" i="13"/>
  <c r="T181" i="13"/>
  <c r="T180" i="13"/>
  <c r="T179" i="13"/>
  <c r="T178" i="13"/>
  <c r="T177" i="13"/>
  <c r="T176" i="13"/>
  <c r="T175" i="13"/>
  <c r="T174" i="13"/>
  <c r="T173" i="13"/>
  <c r="T172" i="13"/>
  <c r="T171" i="13"/>
  <c r="T170" i="13"/>
  <c r="T169" i="13"/>
  <c r="T168" i="13"/>
  <c r="T167" i="13"/>
  <c r="T166" i="13"/>
  <c r="T165" i="13"/>
  <c r="T164" i="13"/>
  <c r="T163" i="13"/>
  <c r="T162" i="13"/>
  <c r="T161" i="13"/>
  <c r="T160" i="13"/>
  <c r="T159" i="13"/>
  <c r="T158" i="13"/>
  <c r="T157" i="13"/>
  <c r="T156" i="13"/>
  <c r="T155" i="13"/>
  <c r="T148" i="13"/>
  <c r="T147" i="13"/>
  <c r="T146" i="13"/>
  <c r="T145" i="13"/>
  <c r="T144" i="13"/>
  <c r="T143" i="13"/>
  <c r="T142" i="13"/>
  <c r="T140" i="13"/>
  <c r="T139" i="13"/>
  <c r="T138" i="13"/>
  <c r="T137" i="13"/>
  <c r="T136" i="13"/>
  <c r="T135" i="13"/>
  <c r="T134" i="13"/>
  <c r="T133" i="13"/>
  <c r="T132" i="13"/>
  <c r="T131" i="13"/>
  <c r="T130" i="13"/>
  <c r="T129" i="13"/>
  <c r="T128" i="13"/>
  <c r="T127" i="13"/>
  <c r="T126" i="13"/>
  <c r="T125" i="13"/>
  <c r="T124" i="13"/>
  <c r="T123" i="13"/>
  <c r="T122" i="13"/>
  <c r="T121" i="13"/>
  <c r="T120" i="13"/>
  <c r="T119" i="13"/>
  <c r="T118" i="13"/>
  <c r="T117" i="13"/>
  <c r="T116" i="13"/>
  <c r="T115" i="13"/>
  <c r="T114" i="13"/>
  <c r="T113" i="13"/>
  <c r="T112" i="13"/>
  <c r="T111" i="13"/>
  <c r="T110" i="13"/>
  <c r="T109" i="13"/>
  <c r="T108" i="13"/>
  <c r="T94" i="13"/>
  <c r="T93" i="13"/>
  <c r="T92" i="13"/>
  <c r="T91" i="13"/>
  <c r="T90" i="13"/>
  <c r="T89" i="13"/>
  <c r="T88" i="13"/>
  <c r="T87" i="13"/>
  <c r="T86" i="13"/>
  <c r="T85" i="13"/>
  <c r="T84" i="13"/>
  <c r="T83" i="13"/>
  <c r="T82" i="13"/>
  <c r="T81" i="13"/>
  <c r="T106" i="13"/>
  <c r="P106" i="13"/>
  <c r="P105" i="13"/>
  <c r="P104" i="13"/>
  <c r="P103" i="13"/>
  <c r="T2" i="13"/>
  <c r="T3" i="13"/>
  <c r="P2" i="13"/>
  <c r="P3" i="13"/>
  <c r="P248" i="13"/>
  <c r="P247" i="13"/>
  <c r="P246" i="13"/>
  <c r="P245" i="13"/>
  <c r="P244" i="13"/>
  <c r="P249" i="13"/>
  <c r="P240" i="13"/>
  <c r="P241" i="13"/>
  <c r="P242" i="13"/>
  <c r="P239" i="13"/>
  <c r="P243" i="13"/>
  <c r="P250" i="13"/>
  <c r="AR82" i="13"/>
  <c r="P82" i="13"/>
  <c r="AR117" i="13"/>
  <c r="P117" i="13"/>
  <c r="AH10" i="12"/>
  <c r="AM26" i="12"/>
  <c r="AM35" i="12" s="1"/>
  <c r="AT35" i="12" s="1"/>
  <c r="AL26" i="12"/>
  <c r="AL35" i="12" s="1"/>
  <c r="AS35" i="12" s="1"/>
  <c r="AK26" i="12"/>
  <c r="AK35" i="12" s="1"/>
  <c r="AR35" i="12" s="1"/>
  <c r="AI26" i="12"/>
  <c r="AI35" i="12" s="1"/>
  <c r="AP35" i="12" s="1"/>
  <c r="AI24" i="12"/>
  <c r="AI33" i="12" s="1"/>
  <c r="AP33" i="12" s="1"/>
  <c r="AL23" i="12"/>
  <c r="AS23" i="12" s="1"/>
  <c r="AI21" i="12"/>
  <c r="AI30" i="12" s="1"/>
  <c r="AP30" i="12" s="1"/>
  <c r="AM19" i="12"/>
  <c r="AM28" i="12" s="1"/>
  <c r="AT28" i="12" s="1"/>
  <c r="AI19" i="12"/>
  <c r="AI28" i="12" s="1"/>
  <c r="AP28" i="12" s="1"/>
  <c r="AT17" i="12"/>
  <c r="AS17" i="12"/>
  <c r="AR17" i="12"/>
  <c r="AP17" i="12"/>
  <c r="AM17" i="12"/>
  <c r="AL17" i="12"/>
  <c r="AK17" i="12"/>
  <c r="AI17" i="12"/>
  <c r="AM16" i="12"/>
  <c r="AM25" i="12" s="1"/>
  <c r="AL16" i="12"/>
  <c r="AS16" i="12" s="1"/>
  <c r="AJ16" i="12"/>
  <c r="AJ25" i="12" s="1"/>
  <c r="AI16" i="12"/>
  <c r="AI25" i="12" s="1"/>
  <c r="AP15" i="12"/>
  <c r="AM15" i="12"/>
  <c r="AM24" i="12" s="1"/>
  <c r="AL15" i="12"/>
  <c r="AL24" i="12" s="1"/>
  <c r="AK15" i="12"/>
  <c r="AK24" i="12" s="1"/>
  <c r="AI15" i="12"/>
  <c r="AM14" i="12"/>
  <c r="AT14" i="12" s="1"/>
  <c r="AL14" i="12"/>
  <c r="AS14" i="12" s="1"/>
  <c r="AI14" i="12"/>
  <c r="AI23" i="12" s="1"/>
  <c r="AM13" i="12"/>
  <c r="AM22" i="12" s="1"/>
  <c r="AL13" i="12"/>
  <c r="AL22" i="12" s="1"/>
  <c r="AK13" i="12"/>
  <c r="AR13" i="12" s="1"/>
  <c r="AI13" i="12"/>
  <c r="AP13" i="12" s="1"/>
  <c r="AP12" i="12"/>
  <c r="AM12" i="12"/>
  <c r="AT12" i="12" s="1"/>
  <c r="AL12" i="12"/>
  <c r="AS12" i="12" s="1"/>
  <c r="AK12" i="12"/>
  <c r="AR12" i="12" s="1"/>
  <c r="AJ12" i="12"/>
  <c r="AJ21" i="12" s="1"/>
  <c r="AJ30" i="12" s="1"/>
  <c r="AQ30" i="12" s="1"/>
  <c r="AI12" i="12"/>
  <c r="AM11" i="12"/>
  <c r="AM20" i="12" s="1"/>
  <c r="AL11" i="12"/>
  <c r="AL20" i="12" s="1"/>
  <c r="AK11" i="12"/>
  <c r="AK20" i="12" s="1"/>
  <c r="AJ11" i="12"/>
  <c r="AJ20" i="12" s="1"/>
  <c r="AI11" i="12"/>
  <c r="AI20" i="12" s="1"/>
  <c r="AH11" i="12"/>
  <c r="AT10" i="12"/>
  <c r="AP10" i="12"/>
  <c r="AM10" i="12"/>
  <c r="AL10" i="12"/>
  <c r="AL19" i="12" s="1"/>
  <c r="AK10" i="12"/>
  <c r="AR10" i="12" s="1"/>
  <c r="AJ10" i="12"/>
  <c r="AQ10" i="12" s="1"/>
  <c r="AI10" i="12"/>
  <c r="AO10" i="12"/>
  <c r="AK8" i="12"/>
  <c r="AJ8" i="12"/>
  <c r="AJ17" i="12" s="1"/>
  <c r="AK7" i="12"/>
  <c r="AK16" i="12" s="1"/>
  <c r="AR16" i="12" s="1"/>
  <c r="AJ7" i="12"/>
  <c r="AK6" i="12"/>
  <c r="AJ6" i="12"/>
  <c r="AJ15" i="12" s="1"/>
  <c r="AK5" i="12"/>
  <c r="AK14" i="12" s="1"/>
  <c r="AJ5" i="12"/>
  <c r="AJ14" i="12" s="1"/>
  <c r="AK4" i="12"/>
  <c r="AJ4" i="12"/>
  <c r="AJ13" i="12" s="1"/>
  <c r="AJ22" i="12" s="1"/>
  <c r="AH2" i="12"/>
  <c r="AH3" i="12" s="1"/>
  <c r="AH4" i="12" s="1"/>
  <c r="AH5" i="12" s="1"/>
  <c r="AH6" i="12" s="1"/>
  <c r="AH7" i="12" s="1"/>
  <c r="AH8" i="12" s="1"/>
  <c r="P101" i="13"/>
  <c r="P102" i="13"/>
  <c r="P97" i="13"/>
  <c r="P98" i="13"/>
  <c r="P99" i="13"/>
  <c r="P100" i="13"/>
  <c r="P231" i="13"/>
  <c r="P232" i="13"/>
  <c r="P233" i="13"/>
  <c r="P234" i="13"/>
  <c r="P235" i="13"/>
  <c r="P236" i="13"/>
  <c r="P237" i="13"/>
  <c r="P238" i="13"/>
  <c r="T95" i="13"/>
  <c r="T71" i="13"/>
  <c r="T96" i="13"/>
  <c r="T72" i="13"/>
  <c r="T73" i="13"/>
  <c r="P95" i="13"/>
  <c r="P71" i="13"/>
  <c r="P96" i="13"/>
  <c r="P72" i="13"/>
  <c r="AN96" i="13"/>
  <c r="AN95" i="13"/>
  <c r="AR65" i="13"/>
  <c r="AR66" i="13"/>
  <c r="AR67" i="13"/>
  <c r="AR68" i="13"/>
  <c r="AR69" i="13"/>
  <c r="AR70" i="13"/>
  <c r="AR71" i="13"/>
  <c r="AR72" i="13"/>
  <c r="AR73" i="13"/>
  <c r="AR74" i="13"/>
  <c r="AR75" i="13"/>
  <c r="AR76" i="13"/>
  <c r="AR77" i="13"/>
  <c r="AR78" i="13"/>
  <c r="AR79" i="13"/>
  <c r="AR80" i="13"/>
  <c r="AR81" i="13"/>
  <c r="AR83" i="13"/>
  <c r="AR84" i="13"/>
  <c r="AR85" i="13"/>
  <c r="AR86" i="13"/>
  <c r="AR87" i="13"/>
  <c r="AR88" i="13"/>
  <c r="AR89" i="13"/>
  <c r="AR90" i="13"/>
  <c r="AR91" i="13"/>
  <c r="AR92" i="13"/>
  <c r="AR93" i="13"/>
  <c r="AR94" i="13"/>
  <c r="AR155" i="13"/>
  <c r="AR156" i="13"/>
  <c r="AR157" i="13"/>
  <c r="AR158" i="13"/>
  <c r="AR159" i="13"/>
  <c r="AR160" i="13"/>
  <c r="AR161" i="13"/>
  <c r="AR162" i="13"/>
  <c r="AR163" i="13"/>
  <c r="AR164" i="13"/>
  <c r="AR165" i="13"/>
  <c r="AR166" i="13"/>
  <c r="AR167" i="13"/>
  <c r="AR168" i="13"/>
  <c r="AR169" i="13"/>
  <c r="AR170" i="13"/>
  <c r="AR171" i="13"/>
  <c r="AR172" i="13"/>
  <c r="AR173" i="13"/>
  <c r="AR174" i="13"/>
  <c r="AR175" i="13"/>
  <c r="AR176" i="13"/>
  <c r="AR177" i="13"/>
  <c r="AR178" i="13"/>
  <c r="AR179" i="13"/>
  <c r="AR180" i="13"/>
  <c r="AR181" i="13"/>
  <c r="AR182" i="13"/>
  <c r="AR183" i="13"/>
  <c r="AR184" i="13"/>
  <c r="AR185" i="13"/>
  <c r="AR186" i="13"/>
  <c r="AR187" i="13"/>
  <c r="AR188" i="13"/>
  <c r="AR189" i="13"/>
  <c r="AR190" i="13"/>
  <c r="AR191" i="13"/>
  <c r="AR192" i="13"/>
  <c r="AR193" i="13"/>
  <c r="AR194" i="13"/>
  <c r="AR195" i="13"/>
  <c r="AR196" i="13"/>
  <c r="AR197" i="13"/>
  <c r="AR198" i="13"/>
  <c r="AR199" i="13"/>
  <c r="AR200" i="13"/>
  <c r="AR201" i="13"/>
  <c r="AR202" i="13"/>
  <c r="AR203" i="13"/>
  <c r="AR204" i="13"/>
  <c r="AR205" i="13"/>
  <c r="AR206" i="13"/>
  <c r="AR207" i="13"/>
  <c r="AR208" i="13"/>
  <c r="AR209" i="13"/>
  <c r="AR210" i="13"/>
  <c r="AR211" i="13"/>
  <c r="AR212" i="13"/>
  <c r="AR213" i="13"/>
  <c r="AR214" i="13"/>
  <c r="AR215" i="13"/>
  <c r="AR216" i="13"/>
  <c r="AR217" i="13"/>
  <c r="AR218" i="13"/>
  <c r="AR219" i="13"/>
  <c r="AR220" i="13"/>
  <c r="AR221" i="13"/>
  <c r="AR222" i="13"/>
  <c r="AR223" i="13"/>
  <c r="AR224" i="13"/>
  <c r="AR225" i="13"/>
  <c r="AR226" i="13"/>
  <c r="AR227" i="13"/>
  <c r="AR228" i="13"/>
  <c r="AR229" i="13"/>
  <c r="AR230" i="13"/>
  <c r="AR108" i="13"/>
  <c r="AR109" i="13"/>
  <c r="AR110" i="13"/>
  <c r="AR111" i="13"/>
  <c r="AR112" i="13"/>
  <c r="AR113" i="13"/>
  <c r="AR114" i="13"/>
  <c r="AR115" i="13"/>
  <c r="AR116" i="13"/>
  <c r="AR118" i="13"/>
  <c r="AR119" i="13"/>
  <c r="AR120" i="13"/>
  <c r="AR121" i="13"/>
  <c r="AR122" i="13"/>
  <c r="AR123" i="13"/>
  <c r="AR124" i="13"/>
  <c r="AR125" i="13"/>
  <c r="AR126" i="13"/>
  <c r="AR127" i="13"/>
  <c r="AR128" i="13"/>
  <c r="AR129" i="13"/>
  <c r="AR130" i="13"/>
  <c r="AR131" i="13"/>
  <c r="AR132" i="13"/>
  <c r="AR133" i="13"/>
  <c r="AR134" i="13"/>
  <c r="AR135" i="13"/>
  <c r="AR136" i="13"/>
  <c r="AR137" i="13"/>
  <c r="AR138" i="13"/>
  <c r="AR139" i="13"/>
  <c r="AR140" i="13"/>
  <c r="AR142" i="13"/>
  <c r="AR143" i="13"/>
  <c r="AR144" i="13"/>
  <c r="AR145" i="13"/>
  <c r="AR146" i="13"/>
  <c r="AR147" i="13"/>
  <c r="AR148" i="13"/>
  <c r="AR64" i="13"/>
  <c r="P143" i="13"/>
  <c r="P142" i="13"/>
  <c r="P216" i="13"/>
  <c r="P215" i="13"/>
  <c r="P214" i="13"/>
  <c r="P213" i="13"/>
  <c r="P220" i="13"/>
  <c r="P219" i="13"/>
  <c r="P218" i="13"/>
  <c r="P217" i="13"/>
  <c r="P94" i="13"/>
  <c r="P93" i="13"/>
  <c r="P89" i="13"/>
  <c r="P85" i="13"/>
  <c r="P78" i="13"/>
  <c r="P77" i="13"/>
  <c r="P76" i="13"/>
  <c r="P75" i="13"/>
  <c r="P74" i="13"/>
  <c r="AN80" i="13"/>
  <c r="T80" i="13"/>
  <c r="P80" i="13"/>
  <c r="AN79" i="13"/>
  <c r="T79" i="13"/>
  <c r="P79" i="13"/>
  <c r="AN72" i="13"/>
  <c r="AN73" i="13"/>
  <c r="P73" i="13"/>
  <c r="P69" i="13"/>
  <c r="P70" i="13"/>
  <c r="AN71" i="13"/>
  <c r="T70" i="13"/>
  <c r="AN70" i="13"/>
  <c r="T69" i="13"/>
  <c r="AN69" i="13"/>
  <c r="P148" i="13"/>
  <c r="P147" i="13"/>
  <c r="P146" i="13"/>
  <c r="P145" i="13"/>
  <c r="P144" i="13"/>
  <c r="P140" i="13"/>
  <c r="P139" i="13"/>
  <c r="P138" i="13"/>
  <c r="P137" i="13"/>
  <c r="P136" i="13"/>
  <c r="P135" i="13"/>
  <c r="P134" i="13"/>
  <c r="P133" i="13"/>
  <c r="P132" i="13"/>
  <c r="P131" i="13"/>
  <c r="P130" i="13"/>
  <c r="P129" i="13"/>
  <c r="P128" i="13"/>
  <c r="P127" i="13"/>
  <c r="P126" i="13"/>
  <c r="P125" i="13"/>
  <c r="P124" i="13"/>
  <c r="P123" i="13"/>
  <c r="P122" i="13"/>
  <c r="P121" i="13"/>
  <c r="P120" i="13"/>
  <c r="P119" i="13"/>
  <c r="P118" i="13"/>
  <c r="P116" i="13"/>
  <c r="P115" i="13"/>
  <c r="P114" i="13"/>
  <c r="P113" i="13"/>
  <c r="P112" i="13"/>
  <c r="P111" i="13"/>
  <c r="P110" i="13"/>
  <c r="P109" i="13"/>
  <c r="P108" i="13"/>
  <c r="P230" i="13"/>
  <c r="P229" i="13"/>
  <c r="P228" i="13"/>
  <c r="P227" i="13"/>
  <c r="P226" i="13"/>
  <c r="P225" i="13"/>
  <c r="P224" i="13"/>
  <c r="P223" i="13"/>
  <c r="P222" i="13"/>
  <c r="P221" i="13"/>
  <c r="P212" i="13"/>
  <c r="P211" i="13"/>
  <c r="P210" i="13"/>
  <c r="P209" i="13"/>
  <c r="P208" i="13"/>
  <c r="P207" i="13"/>
  <c r="P206" i="13"/>
  <c r="P205" i="13"/>
  <c r="P204" i="13"/>
  <c r="P203" i="13"/>
  <c r="P202" i="13"/>
  <c r="P201" i="13"/>
  <c r="P200" i="13"/>
  <c r="P199" i="13"/>
  <c r="P198" i="13"/>
  <c r="P197" i="13"/>
  <c r="P196" i="13"/>
  <c r="P195" i="13"/>
  <c r="P194" i="13"/>
  <c r="P193" i="13"/>
  <c r="P192" i="13"/>
  <c r="P191" i="13"/>
  <c r="P190" i="13"/>
  <c r="P189" i="13"/>
  <c r="P188" i="13"/>
  <c r="P187" i="13"/>
  <c r="P186" i="13"/>
  <c r="P185" i="13"/>
  <c r="P184" i="13"/>
  <c r="P183" i="13"/>
  <c r="P182" i="13"/>
  <c r="P181" i="13"/>
  <c r="P180" i="13"/>
  <c r="P179" i="13"/>
  <c r="P178" i="13"/>
  <c r="P177" i="13"/>
  <c r="P176" i="13"/>
  <c r="P175" i="13"/>
  <c r="P174" i="13"/>
  <c r="P173" i="13"/>
  <c r="P172" i="13"/>
  <c r="P171" i="13"/>
  <c r="P170" i="13"/>
  <c r="P169" i="13"/>
  <c r="P168" i="13"/>
  <c r="P167" i="13"/>
  <c r="P166" i="13"/>
  <c r="P165" i="13"/>
  <c r="P164" i="13"/>
  <c r="P163" i="13"/>
  <c r="P162" i="13"/>
  <c r="P161" i="13"/>
  <c r="P160" i="13"/>
  <c r="P159" i="13"/>
  <c r="P158" i="13"/>
  <c r="P157" i="13"/>
  <c r="P156" i="13"/>
  <c r="P155" i="13"/>
  <c r="P92" i="13"/>
  <c r="P91" i="13"/>
  <c r="P90" i="13"/>
  <c r="P88" i="13"/>
  <c r="P87" i="13"/>
  <c r="P86" i="13"/>
  <c r="P84" i="13"/>
  <c r="P83" i="13"/>
  <c r="P81" i="13"/>
  <c r="P68" i="13"/>
  <c r="P67" i="13"/>
  <c r="P66" i="13"/>
  <c r="P65" i="13"/>
  <c r="P64" i="13"/>
  <c r="E8" i="12"/>
  <c r="D8" i="12"/>
  <c r="E7" i="12"/>
  <c r="D7" i="12"/>
  <c r="E6" i="12"/>
  <c r="D6" i="12"/>
  <c r="D15" i="12" s="1"/>
  <c r="E5" i="12"/>
  <c r="E14" i="12" s="1"/>
  <c r="D5" i="12"/>
  <c r="E4" i="12"/>
  <c r="E13" i="12" s="1"/>
  <c r="D4" i="12"/>
  <c r="U4" i="12"/>
  <c r="U5" i="12"/>
  <c r="U6" i="12"/>
  <c r="U7" i="12"/>
  <c r="U8" i="12"/>
  <c r="T5" i="12"/>
  <c r="T7" i="12"/>
  <c r="T8" i="12"/>
  <c r="T6" i="12"/>
  <c r="T4" i="12"/>
  <c r="V32" i="12"/>
  <c r="AC32" i="12" s="1"/>
  <c r="T29" i="12"/>
  <c r="AA29" i="12" s="1"/>
  <c r="S29" i="12"/>
  <c r="Z29" i="12" s="1"/>
  <c r="W26" i="12"/>
  <c r="V26" i="12"/>
  <c r="S26" i="12"/>
  <c r="S35" i="12" s="1"/>
  <c r="Z35" i="12" s="1"/>
  <c r="S24" i="12"/>
  <c r="AC23" i="12"/>
  <c r="AA23" i="12"/>
  <c r="V23" i="12"/>
  <c r="S22" i="12"/>
  <c r="AD21" i="12"/>
  <c r="AC21" i="12"/>
  <c r="AB21" i="12"/>
  <c r="Z21" i="12"/>
  <c r="W21" i="12"/>
  <c r="W30" i="12" s="1"/>
  <c r="AD30" i="12" s="1"/>
  <c r="V21" i="12"/>
  <c r="V30" i="12" s="1"/>
  <c r="AC30" i="12" s="1"/>
  <c r="U21" i="12"/>
  <c r="U30" i="12" s="1"/>
  <c r="AB30" i="12" s="1"/>
  <c r="S21" i="12"/>
  <c r="S30" i="12" s="1"/>
  <c r="Z30" i="12" s="1"/>
  <c r="V19" i="12"/>
  <c r="U19" i="12"/>
  <c r="U28" i="12" s="1"/>
  <c r="AB28" i="12" s="1"/>
  <c r="T19" i="12"/>
  <c r="T28" i="12" s="1"/>
  <c r="AA28" i="12" s="1"/>
  <c r="S19" i="12"/>
  <c r="S28" i="12" s="1"/>
  <c r="Z28" i="12" s="1"/>
  <c r="AD17" i="12"/>
  <c r="AC17" i="12"/>
  <c r="Z17" i="12"/>
  <c r="W17" i="12"/>
  <c r="V17" i="12"/>
  <c r="U17" i="12"/>
  <c r="U26" i="12" s="1"/>
  <c r="U35" i="12" s="1"/>
  <c r="AB35" i="12" s="1"/>
  <c r="T17" i="12"/>
  <c r="AA17" i="12" s="1"/>
  <c r="S17" i="12"/>
  <c r="W16" i="12"/>
  <c r="V16" i="12"/>
  <c r="U16" i="12"/>
  <c r="T16" i="12"/>
  <c r="S16" i="12"/>
  <c r="Z15" i="12"/>
  <c r="W15" i="12"/>
  <c r="W24" i="12" s="1"/>
  <c r="V15" i="12"/>
  <c r="V24" i="12" s="1"/>
  <c r="U15" i="12"/>
  <c r="U24" i="12" s="1"/>
  <c r="T15" i="12"/>
  <c r="T24" i="12" s="1"/>
  <c r="S15" i="12"/>
  <c r="W14" i="12"/>
  <c r="AD14" i="12" s="1"/>
  <c r="V14" i="12"/>
  <c r="AC14" i="12" s="1"/>
  <c r="U14" i="12"/>
  <c r="AB14" i="12" s="1"/>
  <c r="T14" i="12"/>
  <c r="T23" i="12" s="1"/>
  <c r="T32" i="12" s="1"/>
  <c r="AA32" i="12" s="1"/>
  <c r="S14" i="12"/>
  <c r="AC13" i="12"/>
  <c r="Z13" i="12"/>
  <c r="W13" i="12"/>
  <c r="W22" i="12" s="1"/>
  <c r="AD22" i="12" s="1"/>
  <c r="V13" i="12"/>
  <c r="V22" i="12" s="1"/>
  <c r="AC22" i="12" s="1"/>
  <c r="U13" i="12"/>
  <c r="U22" i="12" s="1"/>
  <c r="AB22" i="12" s="1"/>
  <c r="T13" i="12"/>
  <c r="T22" i="12" s="1"/>
  <c r="S13" i="12"/>
  <c r="AD12" i="12"/>
  <c r="W12" i="12"/>
  <c r="V12" i="12"/>
  <c r="AC12" i="12" s="1"/>
  <c r="U12" i="12"/>
  <c r="AB12" i="12" s="1"/>
  <c r="T12" i="12"/>
  <c r="AA12" i="12" s="1"/>
  <c r="S12" i="12"/>
  <c r="Z12" i="12" s="1"/>
  <c r="AA11" i="12"/>
  <c r="Z11" i="12"/>
  <c r="Y11" i="12"/>
  <c r="W11" i="12"/>
  <c r="V11" i="12"/>
  <c r="U11" i="12"/>
  <c r="U20" i="12" s="1"/>
  <c r="AB20" i="12" s="1"/>
  <c r="T11" i="12"/>
  <c r="T20" i="12" s="1"/>
  <c r="AA20" i="12" s="1"/>
  <c r="S11" i="12"/>
  <c r="S20" i="12" s="1"/>
  <c r="Z20" i="12" s="1"/>
  <c r="R11" i="12"/>
  <c r="R12" i="12" s="1"/>
  <c r="Y12" i="12" s="1"/>
  <c r="AC10" i="12"/>
  <c r="AB10" i="12"/>
  <c r="AA10" i="12"/>
  <c r="Z10" i="12"/>
  <c r="W10" i="12"/>
  <c r="W19" i="12" s="1"/>
  <c r="V10" i="12"/>
  <c r="U10" i="12"/>
  <c r="T10" i="12"/>
  <c r="S10" i="12"/>
  <c r="R10" i="12"/>
  <c r="Y10" i="12" s="1"/>
  <c r="R2" i="12"/>
  <c r="R3" i="12" s="1"/>
  <c r="R4" i="12" s="1"/>
  <c r="R5" i="12" s="1"/>
  <c r="R6" i="12" s="1"/>
  <c r="R7" i="12" s="1"/>
  <c r="R8" i="12" s="1"/>
  <c r="G35" i="12"/>
  <c r="N35" i="12" s="1"/>
  <c r="F35" i="12"/>
  <c r="M35" i="12" s="1"/>
  <c r="C35" i="12"/>
  <c r="J35" i="12" s="1"/>
  <c r="G34" i="12"/>
  <c r="N34" i="12" s="1"/>
  <c r="F34" i="12"/>
  <c r="M34" i="12" s="1"/>
  <c r="D34" i="12"/>
  <c r="K34" i="12" s="1"/>
  <c r="C34" i="12"/>
  <c r="J34" i="12" s="1"/>
  <c r="N33" i="12"/>
  <c r="M33" i="12"/>
  <c r="G33" i="12"/>
  <c r="F33" i="12"/>
  <c r="C33" i="12"/>
  <c r="J33" i="12" s="1"/>
  <c r="G32" i="12"/>
  <c r="N32" i="12" s="1"/>
  <c r="F32" i="12"/>
  <c r="M32" i="12" s="1"/>
  <c r="C32" i="12"/>
  <c r="J32" i="12" s="1"/>
  <c r="J31" i="12"/>
  <c r="G31" i="12"/>
  <c r="N31" i="12" s="1"/>
  <c r="F31" i="12"/>
  <c r="M31" i="12" s="1"/>
  <c r="C31" i="12"/>
  <c r="G30" i="12"/>
  <c r="N30" i="12" s="1"/>
  <c r="F30" i="12"/>
  <c r="M30" i="12" s="1"/>
  <c r="E30" i="12"/>
  <c r="L30" i="12" s="1"/>
  <c r="D30" i="12"/>
  <c r="K30" i="12" s="1"/>
  <c r="C30" i="12"/>
  <c r="J30" i="12" s="1"/>
  <c r="G29" i="12"/>
  <c r="N29" i="12" s="1"/>
  <c r="F29" i="12"/>
  <c r="M29" i="12" s="1"/>
  <c r="E29" i="12"/>
  <c r="L29" i="12" s="1"/>
  <c r="D29" i="12"/>
  <c r="K29" i="12" s="1"/>
  <c r="C29" i="12"/>
  <c r="J29" i="12" s="1"/>
  <c r="G28" i="12"/>
  <c r="N28" i="12" s="1"/>
  <c r="F28" i="12"/>
  <c r="M28" i="12" s="1"/>
  <c r="E28" i="12"/>
  <c r="L28" i="12" s="1"/>
  <c r="D28" i="12"/>
  <c r="K28" i="12" s="1"/>
  <c r="C28" i="12"/>
  <c r="J28" i="12" s="1"/>
  <c r="B12" i="12"/>
  <c r="B13" i="12" s="1"/>
  <c r="B11" i="12"/>
  <c r="E19" i="12"/>
  <c r="F19" i="12"/>
  <c r="G19" i="12"/>
  <c r="E20" i="12"/>
  <c r="F20" i="12"/>
  <c r="G20" i="12"/>
  <c r="E21" i="12"/>
  <c r="F21" i="12"/>
  <c r="G21" i="12"/>
  <c r="F22" i="12"/>
  <c r="M22" i="12" s="1"/>
  <c r="G22" i="12"/>
  <c r="N22" i="12" s="1"/>
  <c r="F23" i="12"/>
  <c r="G23" i="12"/>
  <c r="F24" i="12"/>
  <c r="G24" i="12"/>
  <c r="F25" i="12"/>
  <c r="M25" i="12" s="1"/>
  <c r="G25" i="12"/>
  <c r="N25" i="12" s="1"/>
  <c r="E26" i="12"/>
  <c r="L26" i="12" s="1"/>
  <c r="F26" i="12"/>
  <c r="M26" i="12" s="1"/>
  <c r="G26" i="12"/>
  <c r="N26" i="12" s="1"/>
  <c r="D20" i="12"/>
  <c r="D21" i="12"/>
  <c r="D25" i="12"/>
  <c r="D19" i="12"/>
  <c r="C26" i="12"/>
  <c r="J26" i="12" s="1"/>
  <c r="K25" i="12"/>
  <c r="C25" i="12"/>
  <c r="J25" i="12" s="1"/>
  <c r="N24" i="12"/>
  <c r="M24" i="12"/>
  <c r="C24" i="12"/>
  <c r="J24" i="12" s="1"/>
  <c r="N23" i="12"/>
  <c r="M23" i="12"/>
  <c r="C23" i="12"/>
  <c r="J23" i="12" s="1"/>
  <c r="J22" i="12"/>
  <c r="C22" i="12"/>
  <c r="N21" i="12"/>
  <c r="M21" i="12"/>
  <c r="L21" i="12"/>
  <c r="K21" i="12"/>
  <c r="C21" i="12"/>
  <c r="J21" i="12" s="1"/>
  <c r="N20" i="12"/>
  <c r="M20" i="12"/>
  <c r="L20" i="12"/>
  <c r="K20" i="12"/>
  <c r="C20" i="12"/>
  <c r="J20" i="12" s="1"/>
  <c r="N19" i="12"/>
  <c r="M19" i="12"/>
  <c r="L19" i="12"/>
  <c r="K19" i="12"/>
  <c r="C19" i="12"/>
  <c r="J19" i="12" s="1"/>
  <c r="D10" i="12"/>
  <c r="D11" i="12"/>
  <c r="D12" i="12"/>
  <c r="D13" i="12"/>
  <c r="D22" i="12" s="1"/>
  <c r="D14" i="12"/>
  <c r="D23" i="12" s="1"/>
  <c r="D16" i="12"/>
  <c r="K16" i="12" s="1"/>
  <c r="D17" i="12"/>
  <c r="K17" i="12" s="1"/>
  <c r="E10" i="12"/>
  <c r="F10" i="12"/>
  <c r="G10" i="12"/>
  <c r="E11" i="12"/>
  <c r="F11" i="12"/>
  <c r="G11" i="12"/>
  <c r="E12" i="12"/>
  <c r="F12" i="12"/>
  <c r="G12" i="12"/>
  <c r="F13" i="12"/>
  <c r="M13" i="12" s="1"/>
  <c r="G13" i="12"/>
  <c r="N13" i="12" s="1"/>
  <c r="F14" i="12"/>
  <c r="M14" i="12" s="1"/>
  <c r="G14" i="12"/>
  <c r="N14" i="12" s="1"/>
  <c r="E15" i="12"/>
  <c r="E24" i="12" s="1"/>
  <c r="F15" i="12"/>
  <c r="G15" i="12"/>
  <c r="E16" i="12"/>
  <c r="L16" i="12" s="1"/>
  <c r="F16" i="12"/>
  <c r="M16" i="12" s="1"/>
  <c r="G16" i="12"/>
  <c r="N16" i="12" s="1"/>
  <c r="E17" i="12"/>
  <c r="L17" i="12" s="1"/>
  <c r="F17" i="12"/>
  <c r="M17" i="12" s="1"/>
  <c r="G17" i="12"/>
  <c r="N17" i="12" s="1"/>
  <c r="L15" i="12"/>
  <c r="M15" i="12"/>
  <c r="N15" i="12"/>
  <c r="K10" i="12"/>
  <c r="B4" i="12"/>
  <c r="B5" i="12"/>
  <c r="B6" i="12"/>
  <c r="B7" i="12" s="1"/>
  <c r="B3" i="12"/>
  <c r="B2" i="12"/>
  <c r="J11" i="12"/>
  <c r="K11" i="12"/>
  <c r="L11" i="12"/>
  <c r="M11" i="12"/>
  <c r="N11" i="12"/>
  <c r="J12" i="12"/>
  <c r="K12" i="12"/>
  <c r="L12" i="12"/>
  <c r="M12" i="12"/>
  <c r="N12" i="12"/>
  <c r="J13" i="12"/>
  <c r="J14" i="12"/>
  <c r="J15" i="12"/>
  <c r="J16" i="12"/>
  <c r="J17" i="12"/>
  <c r="L10" i="12"/>
  <c r="M10" i="12"/>
  <c r="N10" i="12"/>
  <c r="J10" i="12"/>
  <c r="I12" i="12"/>
  <c r="I10" i="12"/>
  <c r="I11" i="12"/>
  <c r="C11" i="12"/>
  <c r="C12" i="12"/>
  <c r="C13" i="12"/>
  <c r="C14" i="12"/>
  <c r="C15" i="12"/>
  <c r="C16" i="12"/>
  <c r="C17" i="12"/>
  <c r="C10" i="12"/>
  <c r="B10" i="12"/>
  <c r="Q63" i="13" l="1"/>
  <c r="Q22" i="13"/>
  <c r="R47" i="13"/>
  <c r="R22" i="13"/>
  <c r="R46" i="13"/>
  <c r="R107" i="13"/>
  <c r="Q21" i="13"/>
  <c r="Q19" i="13"/>
  <c r="Q17" i="13"/>
  <c r="R20" i="13"/>
  <c r="Q20" i="13"/>
  <c r="R17" i="13"/>
  <c r="R21" i="13"/>
  <c r="Q47" i="13"/>
  <c r="R141" i="13"/>
  <c r="Q46" i="13"/>
  <c r="Q141" i="13"/>
  <c r="Q107" i="13"/>
  <c r="R24" i="13"/>
  <c r="R23" i="13"/>
  <c r="Q23" i="13"/>
  <c r="Q44" i="13"/>
  <c r="Q24" i="13"/>
  <c r="R41" i="13"/>
  <c r="R2" i="13"/>
  <c r="Q25" i="13"/>
  <c r="R43" i="13"/>
  <c r="R25" i="13"/>
  <c r="R45" i="13"/>
  <c r="R28" i="13"/>
  <c r="R35" i="13"/>
  <c r="R70" i="13"/>
  <c r="R42" i="13"/>
  <c r="Q45" i="13"/>
  <c r="R44" i="13"/>
  <c r="Q42" i="13"/>
  <c r="Q43" i="13"/>
  <c r="Q41" i="13"/>
  <c r="R54" i="13"/>
  <c r="R224" i="13"/>
  <c r="Q56" i="13"/>
  <c r="R15" i="13"/>
  <c r="Q14" i="13"/>
  <c r="R16" i="13"/>
  <c r="R163" i="13"/>
  <c r="Q225" i="13"/>
  <c r="R40" i="13"/>
  <c r="R58" i="13"/>
  <c r="Q55" i="13"/>
  <c r="Q40" i="13"/>
  <c r="R30" i="13"/>
  <c r="Q8" i="13"/>
  <c r="R12" i="13"/>
  <c r="R68" i="13"/>
  <c r="R132" i="13"/>
  <c r="R245" i="13"/>
  <c r="R33" i="13"/>
  <c r="R51" i="13"/>
  <c r="Q226" i="13"/>
  <c r="R48" i="13"/>
  <c r="R108" i="13"/>
  <c r="Q136" i="13"/>
  <c r="R32" i="13"/>
  <c r="R29" i="13"/>
  <c r="Q137" i="13"/>
  <c r="Q34" i="13"/>
  <c r="Q187" i="13"/>
  <c r="R38" i="13"/>
  <c r="Q188" i="13"/>
  <c r="Q149" i="13"/>
  <c r="Q26" i="13"/>
  <c r="R27" i="13"/>
  <c r="R50" i="13"/>
  <c r="Q16" i="13"/>
  <c r="Q49" i="13"/>
  <c r="R39" i="13"/>
  <c r="Q59" i="13"/>
  <c r="Q31" i="13"/>
  <c r="Q54" i="13"/>
  <c r="Q15" i="13"/>
  <c r="Q29" i="13"/>
  <c r="Q32" i="13"/>
  <c r="Q61" i="13"/>
  <c r="R61" i="13"/>
  <c r="Q50" i="13"/>
  <c r="Q38" i="13"/>
  <c r="Q36" i="13"/>
  <c r="R37" i="13"/>
  <c r="R127" i="13"/>
  <c r="Q33" i="13"/>
  <c r="R162" i="13"/>
  <c r="R57" i="13"/>
  <c r="R49" i="13"/>
  <c r="R31" i="13"/>
  <c r="R53" i="13"/>
  <c r="Q67" i="13"/>
  <c r="R260" i="13"/>
  <c r="R34" i="13"/>
  <c r="R52" i="13"/>
  <c r="Q30" i="13"/>
  <c r="R60" i="13"/>
  <c r="R56" i="13"/>
  <c r="Q57" i="13"/>
  <c r="R55" i="13"/>
  <c r="R59" i="13"/>
  <c r="Q60" i="13"/>
  <c r="Q58" i="13"/>
  <c r="Q52" i="13"/>
  <c r="Q53" i="13"/>
  <c r="Q48" i="13"/>
  <c r="Q51" i="13"/>
  <c r="Q39" i="13"/>
  <c r="R101" i="13"/>
  <c r="R128" i="13"/>
  <c r="Q133" i="13"/>
  <c r="Q10" i="13"/>
  <c r="R117" i="13"/>
  <c r="R146" i="13"/>
  <c r="R147" i="13"/>
  <c r="R77" i="13"/>
  <c r="Q84" i="13"/>
  <c r="Q85" i="13"/>
  <c r="Q161" i="13"/>
  <c r="Q189" i="13"/>
  <c r="Q7" i="13"/>
  <c r="R247" i="13"/>
  <c r="R81" i="13"/>
  <c r="R65" i="13"/>
  <c r="Q212" i="13"/>
  <c r="R126" i="13"/>
  <c r="Q214" i="13"/>
  <c r="Q83" i="13"/>
  <c r="Q215" i="13"/>
  <c r="Q246" i="13"/>
  <c r="R131" i="13"/>
  <c r="R166" i="13"/>
  <c r="R246" i="13"/>
  <c r="Q134" i="13"/>
  <c r="R259" i="13"/>
  <c r="Q119" i="13"/>
  <c r="Q120" i="13"/>
  <c r="Q121" i="13"/>
  <c r="R226" i="13"/>
  <c r="R225" i="13"/>
  <c r="R161" i="13"/>
  <c r="R243" i="13"/>
  <c r="R235" i="13"/>
  <c r="R223" i="13"/>
  <c r="R66" i="13"/>
  <c r="R14" i="13"/>
  <c r="R240" i="13"/>
  <c r="Q87" i="13"/>
  <c r="Q163" i="13"/>
  <c r="Q191" i="13"/>
  <c r="Q241" i="13"/>
  <c r="R222" i="13"/>
  <c r="R234" i="13"/>
  <c r="R244" i="13"/>
  <c r="R236" i="13"/>
  <c r="Q224" i="13"/>
  <c r="Q216" i="13"/>
  <c r="Q153" i="13"/>
  <c r="Q164" i="13"/>
  <c r="Q192" i="13"/>
  <c r="Q242" i="13"/>
  <c r="R165" i="13"/>
  <c r="R170" i="13"/>
  <c r="R199" i="13"/>
  <c r="Q255" i="13"/>
  <c r="Q172" i="13"/>
  <c r="Q73" i="13"/>
  <c r="Q123" i="13"/>
  <c r="R67" i="13"/>
  <c r="Q79" i="13"/>
  <c r="R112" i="13"/>
  <c r="R140" i="13"/>
  <c r="R175" i="13"/>
  <c r="R203" i="13"/>
  <c r="R227" i="13"/>
  <c r="R93" i="13"/>
  <c r="R135" i="13"/>
  <c r="R249" i="13"/>
  <c r="Q122" i="13"/>
  <c r="Q250" i="13"/>
  <c r="Q229" i="13"/>
  <c r="Q92" i="13"/>
  <c r="Q124" i="13"/>
  <c r="R142" i="13"/>
  <c r="R143" i="13"/>
  <c r="R154" i="13"/>
  <c r="R134" i="13"/>
  <c r="R94" i="13"/>
  <c r="R171" i="13"/>
  <c r="R150" i="13"/>
  <c r="R200" i="13"/>
  <c r="Q228" i="13"/>
  <c r="Q260" i="13"/>
  <c r="R167" i="13"/>
  <c r="Q168" i="13"/>
  <c r="Q196" i="13"/>
  <c r="Q64" i="13"/>
  <c r="Q155" i="13"/>
  <c r="Q183" i="13"/>
  <c r="Q211" i="13"/>
  <c r="Q125" i="13"/>
  <c r="Q13" i="13"/>
  <c r="R13" i="13"/>
  <c r="R83" i="13"/>
  <c r="R237" i="13"/>
  <c r="Q6" i="13"/>
  <c r="Q200" i="13"/>
  <c r="R121" i="13"/>
  <c r="Q9" i="13"/>
  <c r="R122" i="13"/>
  <c r="Q173" i="13"/>
  <c r="Q201" i="13"/>
  <c r="R130" i="13"/>
  <c r="R84" i="13"/>
  <c r="R238" i="13"/>
  <c r="Q5" i="13"/>
  <c r="Q150" i="13"/>
  <c r="R229" i="13"/>
  <c r="R228" i="13"/>
  <c r="Q76" i="13"/>
  <c r="Q217" i="13"/>
  <c r="Q86" i="13"/>
  <c r="Q162" i="13"/>
  <c r="Q190" i="13"/>
  <c r="Q218" i="13"/>
  <c r="Q240" i="13"/>
  <c r="Q193" i="13"/>
  <c r="Q93" i="13"/>
  <c r="R90" i="13"/>
  <c r="Q259" i="13"/>
  <c r="R218" i="13"/>
  <c r="Q247" i="13"/>
  <c r="Q88" i="13"/>
  <c r="Q69" i="13"/>
  <c r="Q165" i="13"/>
  <c r="Q135" i="13"/>
  <c r="Q108" i="13"/>
  <c r="R137" i="13"/>
  <c r="R219" i="13"/>
  <c r="R72" i="13"/>
  <c r="R111" i="13"/>
  <c r="R139" i="13"/>
  <c r="R174" i="13"/>
  <c r="R202" i="13"/>
  <c r="R230" i="13"/>
  <c r="Q94" i="13"/>
  <c r="R136" i="13"/>
  <c r="R113" i="13"/>
  <c r="Q95" i="13"/>
  <c r="Q248" i="13"/>
  <c r="R114" i="13"/>
  <c r="R177" i="13"/>
  <c r="R205" i="13"/>
  <c r="Q81" i="13"/>
  <c r="R133" i="13"/>
  <c r="R96" i="13"/>
  <c r="Q109" i="13"/>
  <c r="Q138" i="13"/>
  <c r="R71" i="13"/>
  <c r="R176" i="13"/>
  <c r="Q204" i="13"/>
  <c r="Q169" i="13"/>
  <c r="Q197" i="13"/>
  <c r="Q110" i="13"/>
  <c r="Q213" i="13"/>
  <c r="Q82" i="13"/>
  <c r="Q115" i="13"/>
  <c r="Q144" i="13"/>
  <c r="R178" i="13"/>
  <c r="R206" i="13"/>
  <c r="Q4" i="13"/>
  <c r="Q106" i="13"/>
  <c r="R116" i="13"/>
  <c r="R145" i="13"/>
  <c r="R179" i="13"/>
  <c r="R207" i="13"/>
  <c r="R99" i="13"/>
  <c r="R103" i="13"/>
  <c r="Q70" i="13"/>
  <c r="Q170" i="13"/>
  <c r="Q198" i="13"/>
  <c r="Q249" i="13"/>
  <c r="R208" i="13"/>
  <c r="R100" i="13"/>
  <c r="R104" i="13"/>
  <c r="R118" i="13"/>
  <c r="R231" i="13"/>
  <c r="R26" i="13"/>
  <c r="Q171" i="13"/>
  <c r="Q199" i="13"/>
  <c r="R221" i="13"/>
  <c r="R3" i="13"/>
  <c r="R119" i="13"/>
  <c r="R148" i="13"/>
  <c r="Q210" i="13"/>
  <c r="R232" i="13"/>
  <c r="R180" i="13"/>
  <c r="R120" i="13"/>
  <c r="R233" i="13"/>
  <c r="R69" i="13"/>
  <c r="R239" i="13"/>
  <c r="Q186" i="13"/>
  <c r="R78" i="13"/>
  <c r="Q154" i="13"/>
  <c r="R241" i="13"/>
  <c r="Q12" i="13"/>
  <c r="Q111" i="13"/>
  <c r="R152" i="13"/>
  <c r="R156" i="13"/>
  <c r="Q2" i="13"/>
  <c r="R158" i="13"/>
  <c r="R159" i="13"/>
  <c r="Q66" i="13"/>
  <c r="Q234" i="13"/>
  <c r="R190" i="13"/>
  <c r="R86" i="13"/>
  <c r="R102" i="13"/>
  <c r="R97" i="13"/>
  <c r="R105" i="13"/>
  <c r="R106" i="13"/>
  <c r="R185" i="13"/>
  <c r="R123" i="13"/>
  <c r="R124" i="13"/>
  <c r="Q174" i="13"/>
  <c r="R188" i="13"/>
  <c r="Q239" i="13"/>
  <c r="Q233" i="13"/>
  <c r="R189" i="13"/>
  <c r="R85" i="13"/>
  <c r="R80" i="13"/>
  <c r="R211" i="13"/>
  <c r="R157" i="13"/>
  <c r="R214" i="13"/>
  <c r="R187" i="13"/>
  <c r="R160" i="13"/>
  <c r="Q185" i="13"/>
  <c r="Q126" i="13"/>
  <c r="Q258" i="13"/>
  <c r="R73" i="13"/>
  <c r="Q232" i="13"/>
  <c r="R250" i="13"/>
  <c r="R172" i="13"/>
  <c r="Q256" i="13"/>
  <c r="Q139" i="13"/>
  <c r="Q98" i="13"/>
  <c r="R181" i="13"/>
  <c r="Q252" i="13"/>
  <c r="R182" i="13"/>
  <c r="R74" i="13"/>
  <c r="R155" i="13"/>
  <c r="Q257" i="13"/>
  <c r="R76" i="13"/>
  <c r="R215" i="13"/>
  <c r="Q202" i="13"/>
  <c r="R125" i="13"/>
  <c r="Q152" i="13"/>
  <c r="R153" i="13"/>
  <c r="R8" i="13"/>
  <c r="Q182" i="13"/>
  <c r="R217" i="13"/>
  <c r="Q128" i="13"/>
  <c r="R6" i="13"/>
  <c r="Q27" i="13"/>
  <c r="Q129" i="13"/>
  <c r="Q220" i="13"/>
  <c r="Q89" i="13"/>
  <c r="Q243" i="13"/>
  <c r="Q254" i="13"/>
  <c r="R258" i="13"/>
  <c r="R198" i="13"/>
  <c r="Q166" i="13"/>
  <c r="Q244" i="13"/>
  <c r="R257" i="13"/>
  <c r="R196" i="13"/>
  <c r="Q91" i="13"/>
  <c r="Q132" i="13"/>
  <c r="Q167" i="13"/>
  <c r="Q195" i="13"/>
  <c r="Q223" i="13"/>
  <c r="Q245" i="13"/>
  <c r="Q238" i="13"/>
  <c r="Q157" i="13"/>
  <c r="R255" i="13"/>
  <c r="R195" i="13"/>
  <c r="R91" i="13"/>
  <c r="Q151" i="13"/>
  <c r="R210" i="13"/>
  <c r="R183" i="13"/>
  <c r="Q3" i="13"/>
  <c r="R213" i="13"/>
  <c r="R186" i="13"/>
  <c r="Q78" i="13"/>
  <c r="Q253" i="13"/>
  <c r="R9" i="13"/>
  <c r="Q127" i="13"/>
  <c r="Q68" i="13"/>
  <c r="Q194" i="13"/>
  <c r="Q158" i="13"/>
  <c r="Q237" i="13"/>
  <c r="Q156" i="13"/>
  <c r="R254" i="13"/>
  <c r="R194" i="13"/>
  <c r="Q230" i="13"/>
  <c r="Q251" i="13"/>
  <c r="R209" i="13"/>
  <c r="R75" i="13"/>
  <c r="R184" i="13"/>
  <c r="R216" i="13"/>
  <c r="Q72" i="13"/>
  <c r="Q219" i="13"/>
  <c r="Q130" i="13"/>
  <c r="Q221" i="13"/>
  <c r="R149" i="13"/>
  <c r="Q227" i="13"/>
  <c r="Q131" i="13"/>
  <c r="R92" i="13"/>
  <c r="Q236" i="13"/>
  <c r="Q148" i="13"/>
  <c r="R251" i="13"/>
  <c r="R193" i="13"/>
  <c r="R89" i="13"/>
  <c r="R79" i="13"/>
  <c r="R168" i="13"/>
  <c r="R212" i="13"/>
  <c r="R82" i="13"/>
  <c r="R64" i="13"/>
  <c r="Q65" i="13"/>
  <c r="Q184" i="13"/>
  <c r="R7" i="13"/>
  <c r="R5" i="13"/>
  <c r="Q160" i="13"/>
  <c r="Q159" i="13"/>
  <c r="Q90" i="13"/>
  <c r="Q222" i="13"/>
  <c r="Q235" i="13"/>
  <c r="R191" i="13"/>
  <c r="R87" i="13"/>
  <c r="R4" i="13"/>
  <c r="R201" i="13"/>
  <c r="R173" i="13"/>
  <c r="R138" i="13"/>
  <c r="R110" i="13"/>
  <c r="R95" i="13"/>
  <c r="R109" i="13"/>
  <c r="Q231" i="13"/>
  <c r="Q209" i="13"/>
  <c r="Q181" i="13"/>
  <c r="Q147" i="13"/>
  <c r="Q118" i="13"/>
  <c r="Q77" i="13"/>
  <c r="Q104" i="13"/>
  <c r="Q100" i="13"/>
  <c r="Q208" i="13"/>
  <c r="Q180" i="13"/>
  <c r="Q146" i="13"/>
  <c r="Q117" i="13"/>
  <c r="R253" i="13"/>
  <c r="Q103" i="13"/>
  <c r="Q99" i="13"/>
  <c r="Q207" i="13"/>
  <c r="Q179" i="13"/>
  <c r="Q145" i="13"/>
  <c r="Q116" i="13"/>
  <c r="Q75" i="13"/>
  <c r="R252" i="13"/>
  <c r="R242" i="13"/>
  <c r="R220" i="13"/>
  <c r="R192" i="13"/>
  <c r="R164" i="13"/>
  <c r="R129" i="13"/>
  <c r="R88" i="13"/>
  <c r="R169" i="13"/>
  <c r="Q74" i="13"/>
  <c r="Q177" i="13"/>
  <c r="Q35" i="13"/>
  <c r="Q28" i="13"/>
  <c r="Q101" i="13"/>
  <c r="Q203" i="13"/>
  <c r="Q112" i="13"/>
  <c r="Q96" i="13"/>
  <c r="Q71" i="13"/>
  <c r="Q11" i="13"/>
  <c r="Q142" i="13"/>
  <c r="Q80" i="13"/>
  <c r="Q205" i="13"/>
  <c r="Q175" i="13"/>
  <c r="Q178" i="13"/>
  <c r="Q140" i="13"/>
  <c r="R248" i="13"/>
  <c r="R256" i="13"/>
  <c r="Q206" i="13"/>
  <c r="Q143" i="13"/>
  <c r="Q102" i="13"/>
  <c r="Q176" i="13"/>
  <c r="Q114" i="13"/>
  <c r="R98" i="13"/>
  <c r="R144" i="13"/>
  <c r="R115" i="13"/>
  <c r="R197" i="13"/>
  <c r="Q97" i="13"/>
  <c r="Q113" i="13"/>
  <c r="R36" i="13"/>
  <c r="Q105" i="13"/>
  <c r="R151" i="13"/>
  <c r="R204" i="13"/>
  <c r="R11" i="13"/>
  <c r="R10" i="13"/>
  <c r="AK19" i="12"/>
  <c r="AK28" i="12" s="1"/>
  <c r="AR28" i="12" s="1"/>
  <c r="AL25" i="12"/>
  <c r="AM23" i="12"/>
  <c r="AT23" i="12" s="1"/>
  <c r="AM21" i="12"/>
  <c r="AM30" i="12" s="1"/>
  <c r="AT30" i="12" s="1"/>
  <c r="AL21" i="12"/>
  <c r="AL30" i="12" s="1"/>
  <c r="AS30" i="12" s="1"/>
  <c r="AS10" i="12"/>
  <c r="AJ19" i="12"/>
  <c r="AJ28" i="12" s="1"/>
  <c r="AQ28" i="12" s="1"/>
  <c r="AK21" i="12"/>
  <c r="AK30" i="12" s="1"/>
  <c r="AR30" i="12" s="1"/>
  <c r="AK25" i="12"/>
  <c r="AQ12" i="12"/>
  <c r="AH12" i="12"/>
  <c r="AJ23" i="12"/>
  <c r="AQ14" i="12"/>
  <c r="AQ15" i="12"/>
  <c r="AJ24" i="12"/>
  <c r="AT22" i="12"/>
  <c r="AM31" i="12"/>
  <c r="AT31" i="12" s="1"/>
  <c r="AQ17" i="12"/>
  <c r="AJ26" i="12"/>
  <c r="AL31" i="12"/>
  <c r="AS31" i="12" s="1"/>
  <c r="AS22" i="12"/>
  <c r="AP23" i="12"/>
  <c r="AI32" i="12"/>
  <c r="AP32" i="12" s="1"/>
  <c r="AL28" i="12"/>
  <c r="AS28" i="12" s="1"/>
  <c r="AS19" i="12"/>
  <c r="AM33" i="12"/>
  <c r="AT33" i="12" s="1"/>
  <c r="AT24" i="12"/>
  <c r="AP25" i="12"/>
  <c r="AI34" i="12"/>
  <c r="AP34" i="12" s="1"/>
  <c r="AQ20" i="12"/>
  <c r="AJ29" i="12"/>
  <c r="AQ29" i="12" s="1"/>
  <c r="AS20" i="12"/>
  <c r="AL29" i="12"/>
  <c r="AS29" i="12" s="1"/>
  <c r="AM34" i="12"/>
  <c r="AT34" i="12" s="1"/>
  <c r="AT25" i="12"/>
  <c r="AM29" i="12"/>
  <c r="AT29" i="12" s="1"/>
  <c r="AT20" i="12"/>
  <c r="AK23" i="12"/>
  <c r="AR14" i="12"/>
  <c r="AJ31" i="12"/>
  <c r="AQ31" i="12" s="1"/>
  <c r="AQ22" i="12"/>
  <c r="AK33" i="12"/>
  <c r="AR33" i="12" s="1"/>
  <c r="AR24" i="12"/>
  <c r="AL33" i="12"/>
  <c r="AS33" i="12" s="1"/>
  <c r="AS24" i="12"/>
  <c r="AO12" i="12"/>
  <c r="AH13" i="12"/>
  <c r="AP20" i="12"/>
  <c r="AI29" i="12"/>
  <c r="AP29" i="12" s="1"/>
  <c r="AJ34" i="12"/>
  <c r="AQ34" i="12" s="1"/>
  <c r="AQ25" i="12"/>
  <c r="AR20" i="12"/>
  <c r="AK29" i="12"/>
  <c r="AR29" i="12" s="1"/>
  <c r="AR15" i="12"/>
  <c r="AS15" i="12"/>
  <c r="AT15" i="12"/>
  <c r="AP21" i="12"/>
  <c r="AQ13" i="12"/>
  <c r="AQ21" i="12"/>
  <c r="AR21" i="12"/>
  <c r="AO11" i="12"/>
  <c r="AS13" i="12"/>
  <c r="AP11" i="12"/>
  <c r="AT13" i="12"/>
  <c r="AP19" i="12"/>
  <c r="AT21" i="12"/>
  <c r="AP26" i="12"/>
  <c r="AQ11" i="12"/>
  <c r="AQ19" i="12"/>
  <c r="AL32" i="12"/>
  <c r="AS32" i="12" s="1"/>
  <c r="AR11" i="12"/>
  <c r="AI22" i="12"/>
  <c r="AR26" i="12"/>
  <c r="AM32" i="12"/>
  <c r="AT32" i="12" s="1"/>
  <c r="AT11" i="12"/>
  <c r="AP16" i="12"/>
  <c r="AT19" i="12"/>
  <c r="AK22" i="12"/>
  <c r="AP24" i="12"/>
  <c r="AT26" i="12"/>
  <c r="AQ16" i="12"/>
  <c r="AR19" i="12"/>
  <c r="AS11" i="12"/>
  <c r="AS26" i="12"/>
  <c r="AP14" i="12"/>
  <c r="AT16" i="12"/>
  <c r="W23" i="12"/>
  <c r="AD10" i="12"/>
  <c r="AD13" i="12"/>
  <c r="D32" i="12"/>
  <c r="K32" i="12" s="1"/>
  <c r="K23" i="12"/>
  <c r="D31" i="12"/>
  <c r="K31" i="12" s="1"/>
  <c r="K22" i="12"/>
  <c r="L13" i="12"/>
  <c r="E22" i="12"/>
  <c r="L14" i="12"/>
  <c r="E23" i="12"/>
  <c r="K15" i="12"/>
  <c r="D24" i="12"/>
  <c r="L24" i="12"/>
  <c r="E33" i="12"/>
  <c r="L33" i="12" s="1"/>
  <c r="E25" i="12"/>
  <c r="K14" i="12"/>
  <c r="K13" i="12"/>
  <c r="E35" i="12"/>
  <c r="L35" i="12" s="1"/>
  <c r="D26" i="12"/>
  <c r="U23" i="12"/>
  <c r="AB17" i="12"/>
  <c r="AB13" i="12"/>
  <c r="AB11" i="12"/>
  <c r="U29" i="12"/>
  <c r="AB29" i="12" s="1"/>
  <c r="T21" i="12"/>
  <c r="T26" i="12"/>
  <c r="T35" i="12" s="1"/>
  <c r="AA35" i="12" s="1"/>
  <c r="AA15" i="12"/>
  <c r="AA13" i="12"/>
  <c r="AC24" i="12"/>
  <c r="V33" i="12"/>
  <c r="AC33" i="12" s="1"/>
  <c r="W33" i="12"/>
  <c r="AD33" i="12" s="1"/>
  <c r="AD24" i="12"/>
  <c r="U33" i="12"/>
  <c r="AB33" i="12" s="1"/>
  <c r="AB24" i="12"/>
  <c r="V35" i="12"/>
  <c r="AC35" i="12" s="1"/>
  <c r="AC26" i="12"/>
  <c r="W35" i="12"/>
  <c r="AD35" i="12" s="1"/>
  <c r="AD26" i="12"/>
  <c r="S23" i="12"/>
  <c r="Z14" i="12"/>
  <c r="S31" i="12"/>
  <c r="Z31" i="12" s="1"/>
  <c r="Z22" i="12"/>
  <c r="Z26" i="12"/>
  <c r="AA26" i="12"/>
  <c r="V20" i="12"/>
  <c r="AC11" i="12"/>
  <c r="AB26" i="12"/>
  <c r="W20" i="12"/>
  <c r="AD11" i="12"/>
  <c r="V28" i="12"/>
  <c r="AC28" i="12" s="1"/>
  <c r="AC19" i="12"/>
  <c r="W28" i="12"/>
  <c r="AD28" i="12" s="1"/>
  <c r="AD19" i="12"/>
  <c r="Z19" i="12"/>
  <c r="S33" i="12"/>
  <c r="Z33" i="12" s="1"/>
  <c r="Z24" i="12"/>
  <c r="AA19" i="12"/>
  <c r="AA24" i="12"/>
  <c r="T33" i="12"/>
  <c r="AA33" i="12" s="1"/>
  <c r="AB15" i="12"/>
  <c r="AB19" i="12"/>
  <c r="AC15" i="12"/>
  <c r="R13" i="12"/>
  <c r="AD15" i="12"/>
  <c r="U31" i="12"/>
  <c r="AB31" i="12" s="1"/>
  <c r="AA16" i="12"/>
  <c r="T25" i="12"/>
  <c r="V31" i="12"/>
  <c r="AC31" i="12" s="1"/>
  <c r="T31" i="12"/>
  <c r="AA31" i="12" s="1"/>
  <c r="AA22" i="12"/>
  <c r="S25" i="12"/>
  <c r="Z16" i="12"/>
  <c r="U25" i="12"/>
  <c r="AB16" i="12"/>
  <c r="V25" i="12"/>
  <c r="AC16" i="12"/>
  <c r="W25" i="12"/>
  <c r="AD16" i="12"/>
  <c r="W31" i="12"/>
  <c r="AD31" i="12" s="1"/>
  <c r="AA14" i="12"/>
  <c r="B14" i="12"/>
  <c r="I13" i="12"/>
  <c r="B8" i="12"/>
  <c r="AS25" i="12" l="1"/>
  <c r="AL34" i="12"/>
  <c r="AS34" i="12" s="1"/>
  <c r="AS21" i="12"/>
  <c r="AR25" i="12"/>
  <c r="AK34" i="12"/>
  <c r="AR34" i="12" s="1"/>
  <c r="AR22" i="12"/>
  <c r="AK31" i="12"/>
  <c r="AR31" i="12" s="1"/>
  <c r="AR23" i="12"/>
  <c r="AK32" i="12"/>
  <c r="AR32" i="12" s="1"/>
  <c r="AJ35" i="12"/>
  <c r="AQ35" i="12" s="1"/>
  <c r="AQ26" i="12"/>
  <c r="AO13" i="12"/>
  <c r="AH14" i="12"/>
  <c r="AI31" i="12"/>
  <c r="AP31" i="12" s="1"/>
  <c r="AP22" i="12"/>
  <c r="AJ33" i="12"/>
  <c r="AQ33" i="12" s="1"/>
  <c r="AQ24" i="12"/>
  <c r="AQ23" i="12"/>
  <c r="AJ32" i="12"/>
  <c r="AQ32" i="12" s="1"/>
  <c r="W32" i="12"/>
  <c r="AD32" i="12" s="1"/>
  <c r="AD23" i="12"/>
  <c r="K26" i="12"/>
  <c r="D35" i="12"/>
  <c r="K35" i="12" s="1"/>
  <c r="L25" i="12"/>
  <c r="E34" i="12"/>
  <c r="L34" i="12" s="1"/>
  <c r="K24" i="12"/>
  <c r="D33" i="12"/>
  <c r="K33" i="12" s="1"/>
  <c r="E32" i="12"/>
  <c r="L32" i="12" s="1"/>
  <c r="L23" i="12"/>
  <c r="L22" i="12"/>
  <c r="E31" i="12"/>
  <c r="L31" i="12" s="1"/>
  <c r="U32" i="12"/>
  <c r="AB32" i="12" s="1"/>
  <c r="AB23" i="12"/>
  <c r="T30" i="12"/>
  <c r="AA30" i="12" s="1"/>
  <c r="AA21" i="12"/>
  <c r="AA25" i="12"/>
  <c r="T34" i="12"/>
  <c r="AA34" i="12" s="1"/>
  <c r="Y13" i="12"/>
  <c r="R14" i="12"/>
  <c r="AD25" i="12"/>
  <c r="W34" i="12"/>
  <c r="AD34" i="12" s="1"/>
  <c r="AB25" i="12"/>
  <c r="U34" i="12"/>
  <c r="AB34" i="12" s="1"/>
  <c r="Z25" i="12"/>
  <c r="S34" i="12"/>
  <c r="Z34" i="12" s="1"/>
  <c r="AD20" i="12"/>
  <c r="W29" i="12"/>
  <c r="AD29" i="12" s="1"/>
  <c r="AC25" i="12"/>
  <c r="V34" i="12"/>
  <c r="AC34" i="12" s="1"/>
  <c r="AC20" i="12"/>
  <c r="V29" i="12"/>
  <c r="AC29" i="12" s="1"/>
  <c r="Z23" i="12"/>
  <c r="S32" i="12"/>
  <c r="Z32" i="12" s="1"/>
  <c r="I14" i="12"/>
  <c r="B15" i="12"/>
  <c r="AH15" i="12" l="1"/>
  <c r="AO14" i="12"/>
  <c r="Y14" i="12"/>
  <c r="R15" i="12"/>
  <c r="B16" i="12"/>
  <c r="I15" i="12"/>
  <c r="AH16" i="12" l="1"/>
  <c r="AO15" i="12"/>
  <c r="Y15" i="12"/>
  <c r="R16" i="12"/>
  <c r="B17" i="12"/>
  <c r="B19" i="12" s="1"/>
  <c r="I16" i="12"/>
  <c r="AH17" i="12" l="1"/>
  <c r="AO16" i="12"/>
  <c r="I19" i="12"/>
  <c r="B20" i="12"/>
  <c r="R17" i="12"/>
  <c r="Y16" i="12"/>
  <c r="I17" i="12"/>
  <c r="AO17" i="12" l="1"/>
  <c r="AH19" i="12"/>
  <c r="B21" i="12"/>
  <c r="I20" i="12"/>
  <c r="Y17" i="12"/>
  <c r="R19" i="12"/>
  <c r="AH20" i="12" l="1"/>
  <c r="AO19" i="12"/>
  <c r="B22" i="12"/>
  <c r="I21" i="12"/>
  <c r="R20" i="12"/>
  <c r="Y19" i="12"/>
  <c r="AO20" i="12" l="1"/>
  <c r="AH21" i="12"/>
  <c r="B23" i="12"/>
  <c r="I22" i="12"/>
  <c r="Y20" i="12"/>
  <c r="R21" i="12"/>
  <c r="AO21" i="12" l="1"/>
  <c r="AH22" i="12"/>
  <c r="B24" i="12"/>
  <c r="I23" i="12"/>
  <c r="Y21" i="12"/>
  <c r="R22" i="12"/>
  <c r="AH23" i="12" l="1"/>
  <c r="AO22" i="12"/>
  <c r="B25" i="12"/>
  <c r="I24" i="12"/>
  <c r="Y22" i="12"/>
  <c r="R23" i="12"/>
  <c r="AH24" i="12" l="1"/>
  <c r="AO23" i="12"/>
  <c r="B26" i="12"/>
  <c r="I25" i="12"/>
  <c r="Y23" i="12"/>
  <c r="R24" i="12"/>
  <c r="AH25" i="12" l="1"/>
  <c r="AO24" i="12"/>
  <c r="B28" i="12"/>
  <c r="I26" i="12"/>
  <c r="R25" i="12"/>
  <c r="Y24" i="12"/>
  <c r="AO25" i="12" l="1"/>
  <c r="AH26" i="12"/>
  <c r="I28" i="12"/>
  <c r="B29" i="12"/>
  <c r="Y25" i="12"/>
  <c r="R26" i="12"/>
  <c r="AH28" i="12" l="1"/>
  <c r="AO26" i="12"/>
  <c r="B30" i="12"/>
  <c r="I29" i="12"/>
  <c r="R28" i="12"/>
  <c r="Y26" i="12"/>
  <c r="AO28" i="12" l="1"/>
  <c r="AH29" i="12"/>
  <c r="B31" i="12"/>
  <c r="I30" i="12"/>
  <c r="Y28" i="12"/>
  <c r="R29" i="12"/>
  <c r="AH30" i="12" l="1"/>
  <c r="AO29" i="12"/>
  <c r="B32" i="12"/>
  <c r="I31" i="12"/>
  <c r="R30" i="12"/>
  <c r="Y29" i="12"/>
  <c r="AH31" i="12" l="1"/>
  <c r="AO30" i="12"/>
  <c r="B33" i="12"/>
  <c r="I32" i="12"/>
  <c r="Y30" i="12"/>
  <c r="R31" i="12"/>
  <c r="AH32" i="12" l="1"/>
  <c r="AO31" i="12"/>
  <c r="I33" i="12"/>
  <c r="B34" i="12"/>
  <c r="R32" i="12"/>
  <c r="Y31" i="12"/>
  <c r="AH33" i="12" l="1"/>
  <c r="AO32" i="12"/>
  <c r="B35" i="12"/>
  <c r="I35" i="12" s="1"/>
  <c r="I34" i="12"/>
  <c r="R33" i="12"/>
  <c r="Y32" i="12"/>
  <c r="AO33" i="12" l="1"/>
  <c r="AH34" i="12"/>
  <c r="Y33" i="12"/>
  <c r="R34" i="12"/>
  <c r="AH35" i="12" l="1"/>
  <c r="AO35" i="12" s="1"/>
  <c r="AO34" i="12"/>
  <c r="R35" i="12"/>
  <c r="Y35" i="12" s="1"/>
  <c r="Y3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Sós Bálint</author>
  </authors>
  <commentList>
    <comment ref="E1" authorId="0" shapeId="0" xr:uid="{3905AE1D-D18E-4C92-9636-6D028276F6C8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Fuel diesel, hybrid, cng, electric, petrol</t>
        </r>
      </text>
    </comment>
    <comment ref="G1" authorId="0" shapeId="0" xr:uid="{EFB39DD2-F21C-4006-9689-3A3562706678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Manufacturing Date</t>
        </r>
      </text>
    </comment>
    <comment ref="H1" authorId="0" shapeId="0" xr:uid="{C200C873-B45E-4E47-A919-C136078680EF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Manufacturing Period</t>
        </r>
      </text>
    </comment>
    <comment ref="I1" authorId="0" shapeId="0" xr:uid="{5B54C8C8-8C87-4B2E-A449-46DB7270B6A2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Vehicle Lifespan</t>
        </r>
      </text>
    </comment>
    <comment ref="J1" authorId="0" shapeId="0" xr:uid="{755B8B92-046D-47BD-AE42-C4152389F10C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Reliability</t>
        </r>
      </text>
    </comment>
    <comment ref="K1" authorId="0" shapeId="0" xr:uid="{8BFA9C07-FCB9-44BF-B6CD-002D8124A908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Loading speed Door 1</t>
        </r>
      </text>
    </comment>
    <comment ref="L1" authorId="0" shapeId="0" xr:uid="{AEF12A41-B22C-4624-A310-F964CE954AF1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Loading speed Door 2</t>
        </r>
      </text>
    </comment>
    <comment ref="M1" authorId="0" shapeId="0" xr:uid="{19902E94-E26A-43B7-968B-E2AB7E6947D1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Loading speed Door 3</t>
        </r>
      </text>
    </comment>
    <comment ref="N1" authorId="0" shapeId="0" xr:uid="{105B1CD0-7A8E-40C8-AADB-E5B702DBF652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Loading speed Door 3</t>
        </r>
      </text>
    </comment>
    <comment ref="O1" authorId="0" shapeId="0" xr:uid="{73A9F0FD-2971-4520-B86F-2518A57198F4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Loading speed Door 5</t>
        </r>
      </text>
    </comment>
    <comment ref="P1" authorId="0" shapeId="0" xr:uid="{24A42F09-022D-41E9-B8C7-AAC6558D1284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Total loading speed</t>
        </r>
      </text>
    </comment>
    <comment ref="Q1" authorId="0" shapeId="0" xr:uid="{7BE25A2E-4A47-4ABE-9AEC-7E768C86FAC6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Purchase price</t>
        </r>
      </text>
    </comment>
    <comment ref="R1" authorId="0" shapeId="0" xr:uid="{F58D437B-A0D7-496B-A327-5BBCEEF04BD2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Maintenance fee</t>
        </r>
      </text>
    </comment>
    <comment ref="S1" authorId="0" shapeId="0" xr:uid="{65D1C74F-9926-4548-AA2F-F57F942A37F0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Max speed (kmh)</t>
        </r>
      </text>
    </comment>
    <comment ref="V1" authorId="0" shapeId="0" xr:uid="{DEFCD600-7880-4523-8559-29E5FAF75B64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Weight (tons)</t>
        </r>
      </text>
    </comment>
    <comment ref="W1" authorId="0" shapeId="0" xr:uid="{534F7C43-0C84-4829-B63D-F55B231EF5E3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Total capacity</t>
        </r>
      </text>
    </comment>
    <comment ref="X1" authorId="0" shapeId="0" xr:uid="{4A0177B2-1134-40C4-9189-F8D6F87E4808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Comfort (185) (0 more comfortable)</t>
        </r>
      </text>
    </comment>
    <comment ref="AA1" authorId="0" shapeId="0" xr:uid="{881EE47F-8086-4060-89A2-5167FBE15169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1. Consist length (Graphic)</t>
        </r>
      </text>
    </comment>
    <comment ref="AB1" authorId="0" shapeId="0" xr:uid="{EA2BC64C-8014-4282-BC44-CA6695A92F79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2. Consist length (Empty)</t>
        </r>
      </text>
    </comment>
    <comment ref="AC1" authorId="0" shapeId="0" xr:uid="{79C36F54-785B-4865-B442-6E43ACD24C45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3. Consist length (Graphic)</t>
        </r>
      </text>
    </comment>
    <comment ref="AD1" authorId="0" shapeId="0" xr:uid="{C881BB18-BB54-4C1C-B89D-5138B26CF3A0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4. Consist length (Empty)</t>
        </r>
      </text>
    </comment>
    <comment ref="AE1" authorId="0" shapeId="0" xr:uid="{03800C5F-73CE-46CD-BF08-28F0B71B5D73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5. Consist length (Graphic)</t>
        </r>
      </text>
    </comment>
    <comment ref="AF1" authorId="0" shapeId="0" xr:uid="{11B6478A-A724-4563-A8FF-34FBB842E75E}">
      <text>
        <r>
          <rPr>
            <b/>
            <sz val="9"/>
            <color indexed="81"/>
            <rFont val="Tahoma"/>
            <family val="2"/>
            <charset val="238"/>
          </rPr>
          <t>Sós Bálint:</t>
        </r>
        <r>
          <rPr>
            <sz val="9"/>
            <color indexed="81"/>
            <rFont val="Tahoma"/>
            <family val="2"/>
            <charset val="238"/>
          </rPr>
          <t xml:space="preserve">
6. Consist length (Empty)</t>
        </r>
      </text>
    </comment>
    <comment ref="AG1" authorId="0" shapeId="0" xr:uid="{457BAA49-8408-4C1A-97D0-6F8144106483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1. part model lenght (position)</t>
        </r>
      </text>
    </comment>
    <comment ref="AH1" authorId="0" shapeId="0" xr:uid="{EB76FF0E-6113-4A1F-A6C0-7A885FFFAAA6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2. part model lenght (position)</t>
        </r>
      </text>
    </comment>
    <comment ref="AI1" authorId="0" shapeId="0" xr:uid="{AD2FA6D1-19C9-451E-B755-17E36E293A38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3. part model lenght (position)</t>
        </r>
      </text>
    </comment>
    <comment ref="AJ1" authorId="0" shapeId="0" xr:uid="{769EA6EC-14B1-4AD2-9045-F278F96B7616}">
      <text>
        <r>
          <rPr>
            <b/>
            <sz val="9"/>
            <color indexed="81"/>
            <rFont val="Tahoma"/>
            <family val="2"/>
            <charset val="238"/>
          </rPr>
          <t>Sós Bálint:</t>
        </r>
        <r>
          <rPr>
            <sz val="9"/>
            <color indexed="81"/>
            <rFont val="Tahoma"/>
            <family val="2"/>
            <charset val="238"/>
          </rPr>
          <t xml:space="preserve">
Pictures folder</t>
        </r>
      </text>
    </comment>
    <comment ref="AN1" authorId="0" shapeId="0" xr:uid="{A13AFE31-8807-40A2-8C45-BA29B2A31769}">
      <text>
        <r>
          <rPr>
            <b/>
            <sz val="9"/>
            <color indexed="81"/>
            <rFont val="Tahoma"/>
            <family val="2"/>
            <charset val="238"/>
          </rPr>
          <t>Sós Bálint:</t>
        </r>
        <r>
          <rPr>
            <sz val="9"/>
            <color indexed="81"/>
            <rFont val="Tahoma"/>
            <family val="2"/>
            <charset val="238"/>
          </rPr>
          <t xml:space="preserve">
Other info (details GUI)</t>
        </r>
      </text>
    </comment>
    <comment ref="AO1" authorId="0" shapeId="0" xr:uid="{1C4385FD-F1A5-4F93-970B-188600DA1082}">
      <text>
        <r>
          <rPr>
            <b/>
            <sz val="9"/>
            <color indexed="81"/>
            <rFont val="Tahoma"/>
            <family val="2"/>
            <charset val="238"/>
          </rPr>
          <t>Sós Bálint:</t>
        </r>
        <r>
          <rPr>
            <sz val="9"/>
            <color indexed="81"/>
            <rFont val="Tahoma"/>
            <family val="2"/>
            <charset val="238"/>
          </rPr>
          <t xml:space="preserve">
Other info 2 (only additional_text)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Sós Bálint</author>
  </authors>
  <commentList>
    <comment ref="E1" authorId="0" shapeId="0" xr:uid="{96675FD9-2CCB-4799-9EB0-61C8F976C95E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Fuel diesel, hybrid, cng, electric, petrol</t>
        </r>
      </text>
    </comment>
    <comment ref="G1" authorId="0" shapeId="0" xr:uid="{3029C1D1-F3FC-4442-9823-36E622683496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Manufacturing Date</t>
        </r>
      </text>
    </comment>
    <comment ref="H1" authorId="0" shapeId="0" xr:uid="{BBE8082A-2983-4482-9DE9-86861A2C15FD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Manufacturing Period</t>
        </r>
      </text>
    </comment>
    <comment ref="I1" authorId="0" shapeId="0" xr:uid="{60775C33-B800-48DE-BF31-60FA84B9AC98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Vehicle Lifespan</t>
        </r>
      </text>
    </comment>
    <comment ref="J1" authorId="0" shapeId="0" xr:uid="{697B02DB-5FAF-45DF-926A-BC782E7D7D4D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Reliability</t>
        </r>
      </text>
    </comment>
    <comment ref="K1" authorId="0" shapeId="0" xr:uid="{3B3F3BFD-1DF0-4D3A-B2D0-3CE6281DECEC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Loading speed Door 1</t>
        </r>
      </text>
    </comment>
    <comment ref="L1" authorId="0" shapeId="0" xr:uid="{F3684984-DBCF-47DE-9CA7-9E58226AA73C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Loading speed Door 2</t>
        </r>
      </text>
    </comment>
    <comment ref="M1" authorId="0" shapeId="0" xr:uid="{6CF19C7A-2C6E-4371-A7DC-1C6696B91A38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Loading speed Door 3</t>
        </r>
      </text>
    </comment>
    <comment ref="N1" authorId="0" shapeId="0" xr:uid="{1568F2DF-6810-49F8-8911-25D29DE9229C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Loading speed Door 3</t>
        </r>
      </text>
    </comment>
    <comment ref="O1" authorId="0" shapeId="0" xr:uid="{452B8040-A3E4-47B8-A7C3-DDA9DC0F0720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Loading speed Door 5</t>
        </r>
      </text>
    </comment>
    <comment ref="P1" authorId="0" shapeId="0" xr:uid="{43BF8D13-F37F-451A-9764-A98337788257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Total loading speed</t>
        </r>
      </text>
    </comment>
    <comment ref="Q1" authorId="0" shapeId="0" xr:uid="{14186A92-81F1-404C-92F0-0E23EE3DEC69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Purchase price</t>
        </r>
      </text>
    </comment>
    <comment ref="R1" authorId="0" shapeId="0" xr:uid="{D99F1B1A-229D-4377-B93F-A69207B135BA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Maintenance fee</t>
        </r>
      </text>
    </comment>
    <comment ref="S1" authorId="0" shapeId="0" xr:uid="{F08B9032-0ED4-4B02-A86F-15C48D580F36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Max speed (kmh)</t>
        </r>
      </text>
    </comment>
    <comment ref="V1" authorId="0" shapeId="0" xr:uid="{B3329EF0-23A7-4585-859E-D77A10C22E75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Weight (tons)</t>
        </r>
      </text>
    </comment>
    <comment ref="W1" authorId="0" shapeId="0" xr:uid="{FF2B91A8-0F3C-4ED3-AE3B-B3C4FCC55372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Total capacity</t>
        </r>
      </text>
    </comment>
    <comment ref="X1" authorId="0" shapeId="0" xr:uid="{711B11B9-421B-4C0F-8AF3-A739557B76DD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Comfort (185) (0 more comfortable)</t>
        </r>
      </text>
    </comment>
    <comment ref="AA1" authorId="0" shapeId="0" xr:uid="{7BADC8D8-A9E2-40BF-AEA5-44F5213D814A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1. Consist length (Graphic)</t>
        </r>
      </text>
    </comment>
    <comment ref="AB1" authorId="0" shapeId="0" xr:uid="{A755CEA2-5952-464B-88C1-3F04A6183353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2. Consist length (Empty)</t>
        </r>
      </text>
    </comment>
    <comment ref="AC1" authorId="0" shapeId="0" xr:uid="{B994C17E-9E46-41D5-A7D9-ACAC1CD03BD9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3. Consist length (Graphic)</t>
        </r>
      </text>
    </comment>
    <comment ref="AD1" authorId="0" shapeId="0" xr:uid="{CCC908CD-F75E-4F40-A0D8-99457C6BC35F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4. Consist length (Empty)</t>
        </r>
      </text>
    </comment>
    <comment ref="AE1" authorId="0" shapeId="0" xr:uid="{69C66E8B-27C9-464C-AFEF-F6FA9ACD2BB0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5. Consist length (Graphic)</t>
        </r>
      </text>
    </comment>
    <comment ref="AF1" authorId="0" shapeId="0" xr:uid="{AFE35DBA-F648-4186-B880-BB604B3CBD92}">
      <text>
        <r>
          <rPr>
            <b/>
            <sz val="9"/>
            <color indexed="81"/>
            <rFont val="Tahoma"/>
            <family val="2"/>
            <charset val="238"/>
          </rPr>
          <t>Sós Bálint:</t>
        </r>
        <r>
          <rPr>
            <sz val="9"/>
            <color indexed="81"/>
            <rFont val="Tahoma"/>
            <family val="2"/>
            <charset val="238"/>
          </rPr>
          <t xml:space="preserve">
6. Consist length (Empty)</t>
        </r>
      </text>
    </comment>
    <comment ref="AG1" authorId="0" shapeId="0" xr:uid="{1CABB340-6B80-40E3-A0E2-9A93C19CE432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1. part model lenght (position)</t>
        </r>
      </text>
    </comment>
    <comment ref="AH1" authorId="0" shapeId="0" xr:uid="{D058775A-952E-422C-9273-94752D05435C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2. part model lenght (position)</t>
        </r>
      </text>
    </comment>
    <comment ref="AI1" authorId="0" shapeId="0" xr:uid="{96F2EB0E-CFAE-4146-87D8-4B18049F2353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3. part model lenght (position)</t>
        </r>
      </text>
    </comment>
    <comment ref="AJ1" authorId="0" shapeId="0" xr:uid="{8EB3E83F-8AD3-45D1-9FB9-D2EA728ED8A7}">
      <text>
        <r>
          <rPr>
            <b/>
            <sz val="9"/>
            <color indexed="81"/>
            <rFont val="Tahoma"/>
            <family val="2"/>
            <charset val="238"/>
          </rPr>
          <t>Sós Bálint:</t>
        </r>
        <r>
          <rPr>
            <sz val="9"/>
            <color indexed="81"/>
            <rFont val="Tahoma"/>
            <family val="2"/>
            <charset val="238"/>
          </rPr>
          <t xml:space="preserve">
Pictures folder</t>
        </r>
      </text>
    </comment>
    <comment ref="AN1" authorId="0" shapeId="0" xr:uid="{30B24199-DACF-45C5-97E3-7B154396FE83}">
      <text>
        <r>
          <rPr>
            <b/>
            <sz val="9"/>
            <color indexed="81"/>
            <rFont val="Tahoma"/>
            <family val="2"/>
            <charset val="238"/>
          </rPr>
          <t>Sós Bálint:</t>
        </r>
        <r>
          <rPr>
            <sz val="9"/>
            <color indexed="81"/>
            <rFont val="Tahoma"/>
            <family val="2"/>
            <charset val="238"/>
          </rPr>
          <t xml:space="preserve">
Other info (details GUI)</t>
        </r>
      </text>
    </comment>
    <comment ref="AO1" authorId="0" shapeId="0" xr:uid="{270DFF8A-71BF-43BC-AF3C-2D2B8ABE6F11}">
      <text>
        <r>
          <rPr>
            <b/>
            <sz val="9"/>
            <color indexed="81"/>
            <rFont val="Tahoma"/>
            <family val="2"/>
            <charset val="238"/>
          </rPr>
          <t>Sós Bálint:</t>
        </r>
        <r>
          <rPr>
            <sz val="9"/>
            <color indexed="81"/>
            <rFont val="Tahoma"/>
            <family val="2"/>
            <charset val="238"/>
          </rPr>
          <t xml:space="preserve">
Other info 2 (only additional_text)</t>
        </r>
      </text>
    </comment>
  </commentList>
</comments>
</file>

<file path=xl/sharedStrings.xml><?xml version="1.0" encoding="utf-8"?>
<sst xmlns="http://schemas.openxmlformats.org/spreadsheetml/2006/main" count="7067" uniqueCount="431">
  <si>
    <t>Vásárlási ár</t>
  </si>
  <si>
    <t>Üzemeltetési költség</t>
  </si>
  <si>
    <t>MB_Citaro2_k_a</t>
  </si>
  <si>
    <t>MB_Citaro2_k_b</t>
  </si>
  <si>
    <t>MB_Citaro2_c_a</t>
  </si>
  <si>
    <t>MB_Citaro2_c_b</t>
  </si>
  <si>
    <t>MB_Conecto2_c_a</t>
  </si>
  <si>
    <t>MB_Conecto2_g_a</t>
  </si>
  <si>
    <t>MB_Conecto3_c_a</t>
  </si>
  <si>
    <t>MB_Conecto3_g_a</t>
  </si>
  <si>
    <t>MB_Citaro2_le_a</t>
  </si>
  <si>
    <t>MB_Citaro2_g_a</t>
  </si>
  <si>
    <t>MB_Citaro2_g_ngt_a</t>
  </si>
  <si>
    <t>MB_Citaro2_cc_a</t>
  </si>
  <si>
    <t>MB_Citaro2_ccl_a</t>
  </si>
  <si>
    <t>MB_Citaro2_u_a</t>
  </si>
  <si>
    <t>MB_Citaro2_leu_a</t>
  </si>
  <si>
    <t>MB_Citaro2_gu_a</t>
  </si>
  <si>
    <t>MB_Citaro2_le_b</t>
  </si>
  <si>
    <t>MB_Citaro2_g_b</t>
  </si>
  <si>
    <t>MB_Citaro2_g_ngt_b</t>
  </si>
  <si>
    <t>MB_CitaroE_k_a</t>
  </si>
  <si>
    <t>MB_CitaroE_k_b</t>
  </si>
  <si>
    <t>MB_CitaroE_c_a</t>
  </si>
  <si>
    <t>MB_CitaroE_c_b</t>
  </si>
  <si>
    <t>MB_CitaroE_g_a</t>
  </si>
  <si>
    <t>MB_CitaroE_g_b</t>
  </si>
  <si>
    <t>MB_Citaro2_lemu_a</t>
  </si>
  <si>
    <t>MB_Citaro2_lemu_b</t>
  </si>
  <si>
    <t>HA(D2="D"; ((V2+(T2/10))/2)+(P2/14); HA(D2="H"; ((V2+(T2/10))/2*1,2)+(P2/14); HA(D2="E"; ((V2+(T2/10))/2*1,5)+(P2/14); 0)))</t>
  </si>
  <si>
    <t>Dízel</t>
  </si>
  <si>
    <t>Hybrid</t>
  </si>
  <si>
    <t>Elektromos</t>
  </si>
  <si>
    <t>HA(D2="D"; ((V2+(W2/15)+T2)/10)+(P2/14); HA(D2="H"; ((V2+(W2/15)+T2)/10*0,8)+(P2/14); HA(D2="E"; ((V2+(W2/15)+T2)/10*0,5)+(P2/14); 0)))</t>
  </si>
  <si>
    <t>((Tömeg+(Kapacitás/15)+Lóerő)/10)+(Rakodási sebesség/14)</t>
  </si>
  <si>
    <t>((Tömeg+(Lóerő/10))/2)+(Rakodási sebesség/14)</t>
  </si>
  <si>
    <t>((Tömeg+(Lóerő/10))/2*1,2)+(Rakodási sebesség/14)</t>
  </si>
  <si>
    <t>((Tömeg+(Lóerő/10))/2*1,5)+(Rakodási sebesség/14)</t>
  </si>
  <si>
    <t>((Tömeg+(Kapacitás/15)+Lóerő)/10*0,8)+(Rakodási sebesség/14)</t>
  </si>
  <si>
    <t>((Tömeg+(Kapacitás/15)+Lóerő)/10*0,5)+(Rakodási sebesség/14)</t>
  </si>
  <si>
    <t>Purchase price</t>
  </si>
  <si>
    <t>Operating cost</t>
  </si>
  <si>
    <t>(( weight +( power_LE /10))/2)+( loading_speed /14)</t>
  </si>
  <si>
    <t>(( weight +( power_LE /10))/2*1,2)+( loading_speed /14)</t>
  </si>
  <si>
    <t>(( weight +( power_LE /10))/2*1,5)+( loading_speed /14)</t>
  </si>
  <si>
    <t>(( weight +( cargo_capacity /15)+ power_LE )/10)+( loading_speed /14)</t>
  </si>
  <si>
    <t>(( weight +( cargo_capacity /15)+ power_LE )/10*0,8)+( loading_speed /14)</t>
  </si>
  <si>
    <t>(( weight +( cargo_capacity /15)+ power_LE )/10*0,5)+( loading_speed /14)</t>
  </si>
  <si>
    <t>Electric</t>
  </si>
  <si>
    <t>MAN_LC3_12_a</t>
  </si>
  <si>
    <t>Doors</t>
  </si>
  <si>
    <t>Stairs</t>
  </si>
  <si>
    <t>ppl/tick</t>
  </si>
  <si>
    <t>Loading speed</t>
  </si>
  <si>
    <t>K midi</t>
  </si>
  <si>
    <t>solo</t>
  </si>
  <si>
    <t>LE</t>
  </si>
  <si>
    <t>Manufacture</t>
  </si>
  <si>
    <t>Color</t>
  </si>
  <si>
    <t>MB/Citaro2</t>
  </si>
  <si>
    <t>diesel</t>
  </si>
  <si>
    <t>cng</t>
  </si>
  <si>
    <t>Mercedes-Benz Citaro C2</t>
  </si>
  <si>
    <t>Mercedes-Benz Citaro</t>
  </si>
  <si>
    <t>C2</t>
  </si>
  <si>
    <t>K</t>
  </si>
  <si>
    <t>12m</t>
  </si>
  <si>
    <t>10m</t>
  </si>
  <si>
    <t>Type</t>
  </si>
  <si>
    <t>CC1</t>
  </si>
  <si>
    <t>Usage</t>
  </si>
  <si>
    <t>City</t>
  </si>
  <si>
    <t>Suburb</t>
  </si>
  <si>
    <t>Mercedes-Benz Conecto II</t>
  </si>
  <si>
    <t>Mercedes-Benz Conecto III</t>
  </si>
  <si>
    <t>Mercedes-Benz Citaro C2e</t>
  </si>
  <si>
    <t>electric</t>
  </si>
  <si>
    <t>G</t>
  </si>
  <si>
    <t>CC</t>
  </si>
  <si>
    <t>CCL</t>
  </si>
  <si>
    <t>Ü</t>
  </si>
  <si>
    <t>LEÜ</t>
  </si>
  <si>
    <t>LEMÜ</t>
  </si>
  <si>
    <t>GÜ</t>
  </si>
  <si>
    <t>Mercedes-Benz Conecto</t>
  </si>
  <si>
    <t>18m</t>
  </si>
  <si>
    <t>20m</t>
  </si>
  <si>
    <t>21m</t>
  </si>
  <si>
    <t>13m</t>
  </si>
  <si>
    <t>Regional</t>
  </si>
  <si>
    <t>Sort</t>
  </si>
  <si>
    <t>ANIM]</t>
  </si>
  <si>
    <t>Régi</t>
  </si>
  <si>
    <t>1x</t>
  </si>
  <si>
    <t>8 pixel van a képek között</t>
  </si>
  <si>
    <t>107. pixeltől indulnak a képek</t>
  </si>
  <si>
    <t>2x</t>
  </si>
  <si>
    <t>4x</t>
  </si>
  <si>
    <t>MB/Conecto2</t>
  </si>
  <si>
    <t>MB/Conecto3</t>
  </si>
  <si>
    <t>MB_Citaro2_c_ngt_b</t>
  </si>
  <si>
    <t>MB_Citaro2_c_ngt_a</t>
  </si>
  <si>
    <t>CC2</t>
  </si>
  <si>
    <t>BLT_new</t>
  </si>
  <si>
    <t>BLT_old</t>
  </si>
  <si>
    <t>Sernftal</t>
  </si>
  <si>
    <t>Bernmobil</t>
  </si>
  <si>
    <t>AAGL</t>
  </si>
  <si>
    <t>BVB</t>
  </si>
  <si>
    <t>PostAuto</t>
  </si>
  <si>
    <t>RBS</t>
  </si>
  <si>
    <t>RVBW</t>
  </si>
  <si>
    <t>VBG</t>
  </si>
  <si>
    <t>BBA</t>
  </si>
  <si>
    <t>AVA</t>
  </si>
  <si>
    <t>VBSH</t>
  </si>
  <si>
    <t>BOS</t>
  </si>
  <si>
    <t>TPG</t>
  </si>
  <si>
    <t>MAN Lion'sCity 3</t>
  </si>
  <si>
    <t>10E</t>
  </si>
  <si>
    <t>12C</t>
  </si>
  <si>
    <t>12G</t>
  </si>
  <si>
    <t>12E</t>
  </si>
  <si>
    <t>18C</t>
  </si>
  <si>
    <t>18G</t>
  </si>
  <si>
    <t>18E</t>
  </si>
  <si>
    <t>12 LEÜ</t>
  </si>
  <si>
    <t>12 LE</t>
  </si>
  <si>
    <t>13 LEÜ</t>
  </si>
  <si>
    <t>13 LE</t>
  </si>
  <si>
    <t>14 LE</t>
  </si>
  <si>
    <t>MAN_LC3e_10_a</t>
  </si>
  <si>
    <t>MAN_LC3ngt_12_a</t>
  </si>
  <si>
    <t>MAN_LC3e_12_a</t>
  </si>
  <si>
    <t>MAN_LC3_12_b</t>
  </si>
  <si>
    <t>MAN_LC3ngt_12_b</t>
  </si>
  <si>
    <t>MAN_LC3e_12_b</t>
  </si>
  <si>
    <t>MAN_LC3_18_a</t>
  </si>
  <si>
    <t>MAN_LC3ngt_18_a</t>
  </si>
  <si>
    <t>MAN_LC3e_18_a</t>
  </si>
  <si>
    <t>MAN_LC3_18_b</t>
  </si>
  <si>
    <t>MAN_LC3ngt_18_b</t>
  </si>
  <si>
    <t>MAN_LC3e_18_b</t>
  </si>
  <si>
    <t>MAN_LIC3le_12_a</t>
  </si>
  <si>
    <t>MAN_LIC3le_13_a</t>
  </si>
  <si>
    <t>MAN_LIC3le_14_a</t>
  </si>
  <si>
    <t>MAN_LIC3leu_12_a</t>
  </si>
  <si>
    <t>MAN_LIC3leu_13_a</t>
  </si>
  <si>
    <t>MAN_LIC3leu_14_a</t>
  </si>
  <si>
    <t>14 LEÜ</t>
  </si>
  <si>
    <t>MAN Lion'sInterCity 3</t>
  </si>
  <si>
    <t>MAN/LionsCity3</t>
  </si>
  <si>
    <t>MAN Lion's City</t>
  </si>
  <si>
    <t>MAN/LionsIntercity3</t>
  </si>
  <si>
    <t>MAN Lion's Intercity</t>
  </si>
  <si>
    <t>42C</t>
  </si>
  <si>
    <t>32C</t>
  </si>
  <si>
    <t>43C</t>
  </si>
  <si>
    <t>44C</t>
  </si>
  <si>
    <t>14m</t>
  </si>
  <si>
    <t>33C</t>
  </si>
  <si>
    <t>34C</t>
  </si>
  <si>
    <t>MAN_LC3e_10_b</t>
  </si>
  <si>
    <t>Roadshow</t>
  </si>
  <si>
    <t>BLT</t>
  </si>
  <si>
    <t>Credo Inovell</t>
  </si>
  <si>
    <t>Credo Optinell</t>
  </si>
  <si>
    <t>12 EC</t>
  </si>
  <si>
    <t>12 IC</t>
  </si>
  <si>
    <t>Credo_Inovell_12EC_a</t>
  </si>
  <si>
    <t>Credo_Inovell_12IC_a</t>
  </si>
  <si>
    <t>Credo_Optinell_12_a</t>
  </si>
  <si>
    <t>Credo_Optinell_10_a</t>
  </si>
  <si>
    <t>12EC</t>
  </si>
  <si>
    <t>12IC</t>
  </si>
  <si>
    <t>Csepel-Union</t>
  </si>
  <si>
    <t>Credo Econell</t>
  </si>
  <si>
    <t>12 City</t>
  </si>
  <si>
    <t>13 City</t>
  </si>
  <si>
    <t>Credo_Econell_10_a</t>
  </si>
  <si>
    <t>Credo_Econell_12_a</t>
  </si>
  <si>
    <t>Credo_Econell_13_a</t>
  </si>
  <si>
    <t>Credo_Econell_12_b</t>
  </si>
  <si>
    <t>Credo_Econell_13_b</t>
  </si>
  <si>
    <t>Other</t>
  </si>
  <si>
    <t>Csepel_Union_a</t>
  </si>
  <si>
    <t>CC3</t>
  </si>
  <si>
    <t>Új</t>
  </si>
  <si>
    <t>Switzerland</t>
  </si>
  <si>
    <t>Europe</t>
  </si>
  <si>
    <t>Flag</t>
  </si>
  <si>
    <t>Hungary</t>
  </si>
  <si>
    <t>Volan</t>
  </si>
  <si>
    <t>Credo_BC95_a</t>
  </si>
  <si>
    <t>Credo_IC95_a</t>
  </si>
  <si>
    <t>Credo_LC95_a</t>
  </si>
  <si>
    <t>Credo_BC11_a</t>
  </si>
  <si>
    <t>Credo_LC11_a</t>
  </si>
  <si>
    <t>Credo_EC11_a</t>
  </si>
  <si>
    <t>Credo_IC11_a</t>
  </si>
  <si>
    <t>Credo_EC12_a</t>
  </si>
  <si>
    <t>Credo_IC12_a</t>
  </si>
  <si>
    <t>Credo_LC95_b</t>
  </si>
  <si>
    <t>9,5H</t>
  </si>
  <si>
    <t>11H</t>
  </si>
  <si>
    <t>Credo BC</t>
  </si>
  <si>
    <t>Credo LC</t>
  </si>
  <si>
    <t>Credo IC</t>
  </si>
  <si>
    <t>Credo EC</t>
  </si>
  <si>
    <t>Credo LH</t>
  </si>
  <si>
    <t>Credo_LH12_a</t>
  </si>
  <si>
    <t>Intercity</t>
  </si>
  <si>
    <t>9,5m</t>
  </si>
  <si>
    <t>10,5m</t>
  </si>
  <si>
    <t>Tourist</t>
  </si>
  <si>
    <t>Credo EN</t>
  </si>
  <si>
    <t>Credo BN</t>
  </si>
  <si>
    <t>Credo Citadell</t>
  </si>
  <si>
    <t>Credo Econell Next</t>
  </si>
  <si>
    <t>2 doors</t>
  </si>
  <si>
    <t>3 doors</t>
  </si>
  <si>
    <t>4 doors</t>
  </si>
  <si>
    <t>5 doors</t>
  </si>
  <si>
    <t>..xx,..</t>
  </si>
  <si>
    <t>xx..,..</t>
  </si>
  <si>
    <t>....,xx</t>
  </si>
  <si>
    <t>Volvo 7700</t>
  </si>
  <si>
    <t>Alfa Civis 12</t>
  </si>
  <si>
    <t>Alfa Localo</t>
  </si>
  <si>
    <t>Alfa Regio</t>
  </si>
  <si>
    <t>Volvo 7700A</t>
  </si>
  <si>
    <t>Volvo 7700 FL</t>
  </si>
  <si>
    <t>Volvo 7700 FL Hybrid</t>
  </si>
  <si>
    <t>A</t>
  </si>
  <si>
    <t>25/8 - 8/8</t>
  </si>
  <si>
    <t>ItemID</t>
  </si>
  <si>
    <t>Mdate</t>
  </si>
  <si>
    <t>Mperoid</t>
  </si>
  <si>
    <t>Fuel</t>
  </si>
  <si>
    <t>VLife</t>
  </si>
  <si>
    <t>Reli</t>
  </si>
  <si>
    <t>PurchasePrice</t>
  </si>
  <si>
    <t>Maintenance</t>
  </si>
  <si>
    <t>PowerkW</t>
  </si>
  <si>
    <t>Comfort</t>
  </si>
  <si>
    <t>Tcapacity</t>
  </si>
  <si>
    <t>Weight</t>
  </si>
  <si>
    <t>PowerHP</t>
  </si>
  <si>
    <t>Maxspeed</t>
  </si>
  <si>
    <t>H1</t>
  </si>
  <si>
    <t>H2</t>
  </si>
  <si>
    <t>H3</t>
  </si>
  <si>
    <t>H4</t>
  </si>
  <si>
    <t>H5</t>
  </si>
  <si>
    <t>H6</t>
  </si>
  <si>
    <t>Pfolder</t>
  </si>
  <si>
    <t>Subtype1</t>
  </si>
  <si>
    <t>Subtype2</t>
  </si>
  <si>
    <t>Other2</t>
  </si>
  <si>
    <t>Other1</t>
  </si>
  <si>
    <t>LSD1</t>
  </si>
  <si>
    <t>LSD2</t>
  </si>
  <si>
    <t>LSD3</t>
  </si>
  <si>
    <t>LSD4</t>
  </si>
  <si>
    <t>LSD5</t>
  </si>
  <si>
    <t>Tlspeed</t>
  </si>
  <si>
    <t>Pos1</t>
  </si>
  <si>
    <t>Pos2</t>
  </si>
  <si>
    <t>Pos3</t>
  </si>
  <si>
    <t>Subty</t>
  </si>
  <si>
    <t>Volvo 8900 LE</t>
  </si>
  <si>
    <t>15m</t>
  </si>
  <si>
    <t>NewFlyer D40LF</t>
  </si>
  <si>
    <t>D40LF</t>
  </si>
  <si>
    <t>hydrogen</t>
  </si>
  <si>
    <t>Canada</t>
  </si>
  <si>
    <t>NewFlyer F40LF</t>
  </si>
  <si>
    <t>New Flyer</t>
  </si>
  <si>
    <t>F40LF</t>
  </si>
  <si>
    <t>Volvo</t>
  </si>
  <si>
    <t>FL</t>
  </si>
  <si>
    <t>Alfa Cívis</t>
  </si>
  <si>
    <t>Volvo B9L, 12m</t>
  </si>
  <si>
    <t>Volvo B7RLE, 12,5m</t>
  </si>
  <si>
    <t>Volvo B12B, 13,5m</t>
  </si>
  <si>
    <t>Volvo 8900</t>
  </si>
  <si>
    <t>Alfa_Civis_12_a</t>
  </si>
  <si>
    <t>BKV</t>
  </si>
  <si>
    <t>Alfa_Localo_a</t>
  </si>
  <si>
    <t>Alfa_Regio_a</t>
  </si>
  <si>
    <t>Volvo_7700_a</t>
  </si>
  <si>
    <t>Volvo_7700A_a</t>
  </si>
  <si>
    <t>Volvo_7700A_b</t>
  </si>
  <si>
    <t>Volvo_7700fl_a</t>
  </si>
  <si>
    <t>Volvo_7700fl_hybrid_a</t>
  </si>
  <si>
    <t>Solaris Urbino 18</t>
  </si>
  <si>
    <t>Solaris_Urbino2_18_a</t>
  </si>
  <si>
    <t>Solaris_Urbino2_18_b</t>
  </si>
  <si>
    <t>BVG</t>
  </si>
  <si>
    <t>Germany</t>
  </si>
  <si>
    <t>Solaris Urbino</t>
  </si>
  <si>
    <t>Solaris</t>
  </si>
  <si>
    <t>Newflyer_D40LF_a</t>
  </si>
  <si>
    <t>Newflyer_F40LF_a</t>
  </si>
  <si>
    <t>BCTransit_old</t>
  </si>
  <si>
    <t>BCTransit_new</t>
  </si>
  <si>
    <t>Ghost</t>
  </si>
  <si>
    <t>West_Vancouver_Transit</t>
  </si>
  <si>
    <t>TransLink</t>
  </si>
  <si>
    <t>Volvo_7700fl_b</t>
  </si>
  <si>
    <t>Volvo_8900le_15_a</t>
  </si>
  <si>
    <t>LiveryText</t>
  </si>
  <si>
    <t>West Vancouver Transit</t>
  </si>
  <si>
    <t>Ikarus 260.00</t>
  </si>
  <si>
    <t>11m</t>
  </si>
  <si>
    <t>CC two tone</t>
  </si>
  <si>
    <t>CC stripe</t>
  </si>
  <si>
    <t>Ikarus 260.45</t>
  </si>
  <si>
    <t>DD</t>
  </si>
  <si>
    <t>MAN Lion'sCity 2</t>
  </si>
  <si>
    <t>C</t>
  </si>
  <si>
    <t>13,7m</t>
  </si>
  <si>
    <t>MAN Lion'sCoach 3</t>
  </si>
  <si>
    <t>MAN_LCo3_12_a</t>
  </si>
  <si>
    <t>13,5m</t>
  </si>
  <si>
    <t>CC Flixbus</t>
  </si>
  <si>
    <t>CC, gray</t>
  </si>
  <si>
    <t>MAN_LCo3_13_a</t>
  </si>
  <si>
    <t>MAN_LCo3_135_a</t>
  </si>
  <si>
    <t>MAN_LCo3_14_a</t>
  </si>
  <si>
    <t>MAN Lion's Coach</t>
  </si>
  <si>
    <t>MAN_LC2_12_a</t>
  </si>
  <si>
    <t>MAN_LC2_C_a</t>
  </si>
  <si>
    <t>MAN_LC2_DD_a</t>
  </si>
  <si>
    <t>MAN_LC2_12_b</t>
  </si>
  <si>
    <t>MAN/LionsCity2</t>
  </si>
  <si>
    <t>MAN/LionsCoach</t>
  </si>
  <si>
    <t>Raba Lho</t>
  </si>
  <si>
    <t>Raba LHo</t>
  </si>
  <si>
    <t>Raba</t>
  </si>
  <si>
    <t>petrol</t>
  </si>
  <si>
    <t>Raba_LHo_a</t>
  </si>
  <si>
    <t>Raba_LHo_b</t>
  </si>
  <si>
    <t>7m</t>
  </si>
  <si>
    <t>NewFlyer C40LFR</t>
  </si>
  <si>
    <t>Newflyer_C40LFR_a</t>
  </si>
  <si>
    <t>C40LFR</t>
  </si>
  <si>
    <t>NewFlyer D40LFR</t>
  </si>
  <si>
    <t>Newflyer_D40LFR_a</t>
  </si>
  <si>
    <t>D40LFR</t>
  </si>
  <si>
    <t>NewFlyer XN40</t>
  </si>
  <si>
    <t>Newflyer_XN40_a</t>
  </si>
  <si>
    <t>XN40</t>
  </si>
  <si>
    <t>Blank</t>
  </si>
  <si>
    <t>TransLink_new</t>
  </si>
  <si>
    <t>TransLink_old</t>
  </si>
  <si>
    <t>BCTransit</t>
  </si>
  <si>
    <t>Mávag N26</t>
  </si>
  <si>
    <t>Mávag NI56</t>
  </si>
  <si>
    <t>fémvázas</t>
  </si>
  <si>
    <t>HA(VAGY(E2="diesel"; E2="petrol"); ((V2+(T2/10))/2)+(P2/14); HA(VAGY(E2="cng"; E2="hybrid"); ((V2+(T2/10))/2*1,2)+(P2/14); HA(VAGY(E2="hydrogen"; E2="electric"); ((V2+(T2/10))/2*1,5)+(P2/14); 0)))</t>
  </si>
  <si>
    <t>HA(E2="petrol"; ((V2+(W2/15)+T2)/10*1,5)+(P2/14); HA(E2="diesel"; ((V2+(W2/15)+T2)/10)+(P2/14); HA(VAGY(E2="cng"; E2="hybrid"); ((V2+(W2/15)+T2)/10*0,8)+(P2/14); HA(VAGY(E2="hydrogen"; E2="electric"); ((V2+(W2/15)+T2)/10*0,5)+(P2/14); 0))))</t>
  </si>
  <si>
    <t>Mávag N2h</t>
  </si>
  <si>
    <t>Mavag</t>
  </si>
  <si>
    <t>Mávag</t>
  </si>
  <si>
    <t>N2h</t>
  </si>
  <si>
    <t>N26</t>
  </si>
  <si>
    <t>NI56</t>
  </si>
  <si>
    <t>7,9m</t>
  </si>
  <si>
    <t>8,7m</t>
  </si>
  <si>
    <t>10,4m</t>
  </si>
  <si>
    <t>Ikarus 30</t>
  </si>
  <si>
    <t>városi</t>
  </si>
  <si>
    <t>távolsági</t>
  </si>
  <si>
    <t>8,4m</t>
  </si>
  <si>
    <t>Ikarus 31</t>
  </si>
  <si>
    <t>8,5m</t>
  </si>
  <si>
    <t>Ikarus30_0_a</t>
  </si>
  <si>
    <t>Ikarus31_0_a</t>
  </si>
  <si>
    <t>Ikarus30_1_a</t>
  </si>
  <si>
    <t>Ikarus31_3_a</t>
  </si>
  <si>
    <t>Ikarus31_2_a</t>
  </si>
  <si>
    <t>Ikarus31_1_a</t>
  </si>
  <si>
    <t>Mavag_N2h_a</t>
  </si>
  <si>
    <t>Mavag_N26_a</t>
  </si>
  <si>
    <t>Mavag_NI56_a</t>
  </si>
  <si>
    <t/>
  </si>
  <si>
    <t>Ikarus 260.20</t>
  </si>
  <si>
    <t>Kisalfold</t>
  </si>
  <si>
    <t>Kisalföld</t>
  </si>
  <si>
    <t>Volán</t>
  </si>
  <si>
    <t>Ikarus 260.43</t>
  </si>
  <si>
    <t>Szeged</t>
  </si>
  <si>
    <t>Ikarus 280.00</t>
  </si>
  <si>
    <t>17m</t>
  </si>
  <si>
    <t>Ikarus 280.03</t>
  </si>
  <si>
    <t>Ikarus 280.17</t>
  </si>
  <si>
    <t>Ikarus 280.49</t>
  </si>
  <si>
    <t>Ikarus 280.52</t>
  </si>
  <si>
    <t>1 door</t>
  </si>
  <si>
    <t>Ikarus/old</t>
  </si>
  <si>
    <t>Ikarus/2xx</t>
  </si>
  <si>
    <t>Ikarus 260</t>
  </si>
  <si>
    <t>Ikarus 280</t>
  </si>
  <si>
    <t>helyközi</t>
  </si>
  <si>
    <t>helyi</t>
  </si>
  <si>
    <t>Ikarus260_a</t>
  </si>
  <si>
    <t>Ikarus280_a</t>
  </si>
  <si>
    <t>Ikarus260_b</t>
  </si>
  <si>
    <t>Ikarus260_c</t>
  </si>
  <si>
    <t>Ikarus260_d</t>
  </si>
  <si>
    <t>Ikarus280_c</t>
  </si>
  <si>
    <t>Ikarus260_e</t>
  </si>
  <si>
    <t>Ikarus280_e</t>
  </si>
  <si>
    <t>Ikarus280_d</t>
  </si>
  <si>
    <t>Ikarus 260g</t>
  </si>
  <si>
    <t>Ikarus 263</t>
  </si>
  <si>
    <t>Ikarus263_a</t>
  </si>
  <si>
    <t>Ikarus263_c</t>
  </si>
  <si>
    <t>Ikarus 256</t>
  </si>
  <si>
    <t>turista</t>
  </si>
  <si>
    <t>Ikarus256_a</t>
  </si>
  <si>
    <t>Ikarus256_b</t>
  </si>
  <si>
    <t>Volan1</t>
  </si>
  <si>
    <t>MAN_LIC3le_12_b</t>
  </si>
  <si>
    <t>Ikarus 266</t>
  </si>
  <si>
    <t>Ikarus266_a</t>
  </si>
  <si>
    <t>Ikarus 255</t>
  </si>
  <si>
    <t>Ikarus250_a</t>
  </si>
  <si>
    <t>Ikarus 284</t>
  </si>
  <si>
    <t>Ikarus284_a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</si>
</sst>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Arial1"/>
    </font>
    <font>
      <sz val="8"/>
      <name val="Arial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0"/>
      <color rgb="FF000000"/>
      <name val="Arial"/>
      <family val="2"/>
      <charset val="238"/>
    </font>
    <font>
      <sz val="10"/>
      <color rgb="FF000000"/>
      <name val="Arial1"/>
      <charset val="238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0" xfId="0" applyFill="1"/>
    <xf numFmtId="49" fontId="0" fillId="0" borderId="0" xfId="0" applyNumberFormat="1"/>
    <xf numFmtId="0" fontId="0" fillId="4" borderId="0" xfId="0" applyFill="1"/>
    <xf numFmtId="0" fontId="6" fillId="0" borderId="0" xfId="0" applyFont="1"/>
    <xf numFmtId="0" fontId="6" fillId="0" borderId="0" xfId="0" applyFont="1" applyAlignment="1">
      <alignment horizontal="center" vertical="center" textRotation="180" wrapText="1"/>
    </xf>
    <xf numFmtId="0" fontId="6" fillId="2" borderId="0" xfId="0" applyFont="1" applyFill="1" applyAlignment="1">
      <alignment horizontal="center" vertical="center" textRotation="180" wrapText="1"/>
    </xf>
    <xf numFmtId="0" fontId="6" fillId="3" borderId="0" xfId="0" applyFont="1" applyFill="1"/>
    <xf numFmtId="0" fontId="6" fillId="0" borderId="0" xfId="0" applyFont="1" applyAlignment="1">
      <alignment horizontal="center"/>
    </xf>
    <xf numFmtId="1" fontId="6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6" fillId="2" borderId="0" xfId="0" applyFont="1" applyFill="1"/>
    <xf numFmtId="2" fontId="6" fillId="0" borderId="0" xfId="0" applyNumberFormat="1" applyFont="1" applyAlignment="1">
      <alignment horizontal="center"/>
    </xf>
    <xf numFmtId="2" fontId="6" fillId="2" borderId="0" xfId="0" applyNumberFormat="1" applyFont="1" applyFill="1" applyAlignment="1">
      <alignment horizontal="center" vertical="center" textRotation="180" wrapText="1"/>
    </xf>
    <xf numFmtId="2" fontId="6" fillId="2" borderId="0" xfId="0" applyNumberFormat="1" applyFont="1" applyFill="1" applyAlignment="1">
      <alignment horizontal="center"/>
    </xf>
    <xf numFmtId="0" fontId="7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F2AC-54B3-47F8-9113-F066E5B6CF04}">
  <dimension ref="A1:AU239"/>
  <sheetViews>
    <sheetView zoomScale="70" zoomScaleNormal="70" workbookViewId="0">
      <selection activeCell="U7" sqref="U7"/>
    </sheetView>
  </sheetViews>
  <sheetFormatPr defaultRowHeight="13.8"/>
  <cols>
    <col min="1" max="1" width="22.3984375" bestFit="1" customWidth="1"/>
    <col min="2" max="2" width="8" bestFit="1" customWidth="1"/>
    <col min="3" max="3" width="3" bestFit="1" customWidth="1"/>
    <col min="5" max="5" width="8.19921875" bestFit="1" customWidth="1"/>
    <col min="6" max="6" width="19.5" bestFit="1" customWidth="1"/>
    <col min="7" max="7" width="5" bestFit="1" customWidth="1"/>
    <col min="8" max="18" width="3" bestFit="1" customWidth="1"/>
    <col min="19" max="19" width="4" bestFit="1" customWidth="1"/>
    <col min="20" max="20" width="7" bestFit="1" customWidth="1"/>
    <col min="21" max="21" width="4" bestFit="1" customWidth="1"/>
    <col min="22" max="22" width="3" bestFit="1" customWidth="1"/>
    <col min="23" max="24" width="4" bestFit="1" customWidth="1"/>
    <col min="25" max="25" width="20.796875" bestFit="1" customWidth="1"/>
    <col min="26" max="26" width="19.69921875" bestFit="1" customWidth="1"/>
    <col min="27" max="35" width="3" bestFit="1" customWidth="1"/>
    <col min="36" max="36" width="16.3984375" bestFit="1" customWidth="1"/>
    <col min="37" max="37" width="20.3984375" bestFit="1" customWidth="1"/>
    <col min="38" max="38" width="7.5" bestFit="1" customWidth="1"/>
    <col min="39" max="39" width="6.19921875" bestFit="1" customWidth="1"/>
    <col min="40" max="40" width="7" bestFit="1" customWidth="1"/>
    <col min="41" max="41" width="17.19921875" bestFit="1" customWidth="1"/>
    <col min="42" max="42" width="8.09765625" bestFit="1" customWidth="1"/>
    <col min="43" max="43" width="7.3984375" bestFit="1" customWidth="1"/>
    <col min="44" max="44" width="10" bestFit="1" customWidth="1"/>
    <col min="45" max="47" width="3" bestFit="1" customWidth="1"/>
  </cols>
  <sheetData>
    <row r="1" spans="1:47" ht="134.4" customHeight="1">
      <c r="A1" s="24" t="s">
        <v>57</v>
      </c>
      <c r="B1" s="24" t="s">
        <v>269</v>
      </c>
      <c r="C1" s="24" t="s">
        <v>50</v>
      </c>
      <c r="D1" s="24"/>
      <c r="E1" s="24" t="s">
        <v>238</v>
      </c>
      <c r="F1" s="24" t="s">
        <v>235</v>
      </c>
      <c r="G1" s="24" t="s">
        <v>236</v>
      </c>
      <c r="H1" s="24" t="s">
        <v>237</v>
      </c>
      <c r="I1" s="24" t="s">
        <v>239</v>
      </c>
      <c r="J1" s="24" t="s">
        <v>240</v>
      </c>
      <c r="K1" s="24" t="s">
        <v>260</v>
      </c>
      <c r="L1" s="24" t="s">
        <v>261</v>
      </c>
      <c r="M1" s="24" t="s">
        <v>262</v>
      </c>
      <c r="N1" s="24" t="s">
        <v>263</v>
      </c>
      <c r="O1" s="24" t="s">
        <v>264</v>
      </c>
      <c r="P1" s="25" t="s">
        <v>265</v>
      </c>
      <c r="Q1" s="25" t="s">
        <v>241</v>
      </c>
      <c r="R1" s="25" t="s">
        <v>242</v>
      </c>
      <c r="S1" s="24" t="s">
        <v>248</v>
      </c>
      <c r="T1" s="25" t="s">
        <v>247</v>
      </c>
      <c r="U1" s="24" t="s">
        <v>243</v>
      </c>
      <c r="V1" s="24" t="s">
        <v>246</v>
      </c>
      <c r="W1" s="24" t="s">
        <v>245</v>
      </c>
      <c r="X1" s="25" t="s">
        <v>244</v>
      </c>
      <c r="Y1" s="24" t="s">
        <v>58</v>
      </c>
      <c r="Z1" s="24" t="s">
        <v>311</v>
      </c>
      <c r="AA1" s="25" t="s">
        <v>249</v>
      </c>
      <c r="AB1" s="25" t="s">
        <v>250</v>
      </c>
      <c r="AC1" s="25" t="s">
        <v>251</v>
      </c>
      <c r="AD1" s="25" t="s">
        <v>252</v>
      </c>
      <c r="AE1" s="25" t="s">
        <v>253</v>
      </c>
      <c r="AF1" s="25" t="s">
        <v>254</v>
      </c>
      <c r="AG1" s="24" t="s">
        <v>266</v>
      </c>
      <c r="AH1" s="24" t="s">
        <v>267</v>
      </c>
      <c r="AI1" s="24" t="s">
        <v>268</v>
      </c>
      <c r="AJ1" s="24" t="s">
        <v>255</v>
      </c>
      <c r="AK1" s="24" t="s">
        <v>68</v>
      </c>
      <c r="AL1" s="24" t="s">
        <v>256</v>
      </c>
      <c r="AM1" s="24" t="s">
        <v>257</v>
      </c>
      <c r="AN1" s="25" t="s">
        <v>259</v>
      </c>
      <c r="AO1" s="24" t="s">
        <v>258</v>
      </c>
      <c r="AP1" s="24" t="s">
        <v>70</v>
      </c>
      <c r="AQ1" s="33" t="s">
        <v>90</v>
      </c>
      <c r="AR1" s="24" t="s">
        <v>190</v>
      </c>
      <c r="AS1" s="24" t="s">
        <v>224</v>
      </c>
      <c r="AT1" s="24" t="s">
        <v>223</v>
      </c>
      <c r="AU1" s="24" t="s">
        <v>225</v>
      </c>
    </row>
    <row r="2" spans="1:47">
      <c r="A2" s="23" t="s">
        <v>337</v>
      </c>
      <c r="B2" s="23"/>
      <c r="C2" s="23">
        <v>2</v>
      </c>
      <c r="D2" s="23"/>
      <c r="E2" s="23" t="s">
        <v>340</v>
      </c>
      <c r="F2" s="23" t="s">
        <v>341</v>
      </c>
      <c r="G2" s="27">
        <v>1926</v>
      </c>
      <c r="H2" s="27">
        <v>20</v>
      </c>
      <c r="I2" s="27">
        <v>25</v>
      </c>
      <c r="J2" s="27">
        <v>20</v>
      </c>
      <c r="K2" s="27">
        <v>5</v>
      </c>
      <c r="L2" s="27">
        <v>5</v>
      </c>
      <c r="M2" s="27"/>
      <c r="N2" s="27"/>
      <c r="O2" s="27"/>
      <c r="P2" s="28">
        <v>10</v>
      </c>
      <c r="Q2" s="28">
        <v>4.9269357142857144</v>
      </c>
      <c r="R2" s="28">
        <v>8.2922357142857148</v>
      </c>
      <c r="S2" s="27">
        <v>45</v>
      </c>
      <c r="T2" s="29">
        <v>44.253</v>
      </c>
      <c r="U2" s="27">
        <v>33</v>
      </c>
      <c r="V2" s="27">
        <v>4</v>
      </c>
      <c r="W2" s="27">
        <v>34</v>
      </c>
      <c r="X2" s="29">
        <v>200</v>
      </c>
      <c r="Y2" s="27" t="s">
        <v>69</v>
      </c>
      <c r="Z2" s="27" t="s">
        <v>69</v>
      </c>
      <c r="AA2" s="29">
        <v>7</v>
      </c>
      <c r="AB2" s="29" t="s">
        <v>386</v>
      </c>
      <c r="AC2" s="29" t="s">
        <v>386</v>
      </c>
      <c r="AD2" s="29" t="s">
        <v>386</v>
      </c>
      <c r="AE2" s="29" t="s">
        <v>386</v>
      </c>
      <c r="AF2" s="29" t="s">
        <v>386</v>
      </c>
      <c r="AG2" s="27">
        <v>7</v>
      </c>
      <c r="AH2" s="27">
        <v>0</v>
      </c>
      <c r="AI2" s="27">
        <v>0</v>
      </c>
      <c r="AJ2" s="23" t="s">
        <v>339</v>
      </c>
      <c r="AK2" s="23" t="s">
        <v>338</v>
      </c>
      <c r="AL2" s="30"/>
      <c r="AM2" s="23"/>
      <c r="AN2" s="31" t="s">
        <v>219</v>
      </c>
      <c r="AO2" s="23" t="s">
        <v>343</v>
      </c>
      <c r="AP2" s="23" t="s">
        <v>71</v>
      </c>
      <c r="AQ2" s="34">
        <v>1000</v>
      </c>
      <c r="AR2" s="23" t="s">
        <v>78</v>
      </c>
      <c r="AS2" s="23">
        <v>10</v>
      </c>
      <c r="AT2" s="23">
        <v>0</v>
      </c>
      <c r="AU2" s="23">
        <v>0</v>
      </c>
    </row>
    <row r="3" spans="1:47">
      <c r="A3" s="23" t="s">
        <v>337</v>
      </c>
      <c r="B3" s="23"/>
      <c r="C3" s="23">
        <v>1</v>
      </c>
      <c r="D3" s="23"/>
      <c r="E3" s="23" t="s">
        <v>340</v>
      </c>
      <c r="F3" s="23" t="s">
        <v>342</v>
      </c>
      <c r="G3" s="27">
        <v>1926</v>
      </c>
      <c r="H3" s="27">
        <v>20</v>
      </c>
      <c r="I3" s="27">
        <v>25</v>
      </c>
      <c r="J3" s="27">
        <v>20</v>
      </c>
      <c r="K3" s="27">
        <v>5</v>
      </c>
      <c r="L3" s="27"/>
      <c r="M3" s="27"/>
      <c r="N3" s="27"/>
      <c r="O3" s="27"/>
      <c r="P3" s="28">
        <v>5</v>
      </c>
      <c r="Q3" s="28">
        <v>4.5697928571428568</v>
      </c>
      <c r="R3" s="28">
        <v>7.8550928571428562</v>
      </c>
      <c r="S3" s="27">
        <v>45</v>
      </c>
      <c r="T3" s="29">
        <v>44.253</v>
      </c>
      <c r="U3" s="27">
        <v>33</v>
      </c>
      <c r="V3" s="27">
        <v>4</v>
      </c>
      <c r="W3" s="27">
        <v>26</v>
      </c>
      <c r="X3" s="29">
        <v>185</v>
      </c>
      <c r="Y3" s="27" t="s">
        <v>69</v>
      </c>
      <c r="Z3" s="27" t="s">
        <v>69</v>
      </c>
      <c r="AA3" s="29">
        <v>7</v>
      </c>
      <c r="AB3" s="29" t="s">
        <v>386</v>
      </c>
      <c r="AC3" s="29" t="s">
        <v>386</v>
      </c>
      <c r="AD3" s="29" t="s">
        <v>386</v>
      </c>
      <c r="AE3" s="29" t="s">
        <v>386</v>
      </c>
      <c r="AF3" s="29" t="s">
        <v>386</v>
      </c>
      <c r="AG3" s="27">
        <v>7</v>
      </c>
      <c r="AH3" s="27">
        <v>0</v>
      </c>
      <c r="AI3" s="27">
        <v>0</v>
      </c>
      <c r="AJ3" s="23" t="s">
        <v>339</v>
      </c>
      <c r="AK3" s="23" t="s">
        <v>338</v>
      </c>
      <c r="AL3" s="30"/>
      <c r="AM3" s="23"/>
      <c r="AN3" s="31" t="s">
        <v>399</v>
      </c>
      <c r="AO3" s="23" t="s">
        <v>343</v>
      </c>
      <c r="AP3" s="23" t="s">
        <v>89</v>
      </c>
      <c r="AQ3" s="34">
        <v>1001</v>
      </c>
      <c r="AR3" s="23" t="s">
        <v>78</v>
      </c>
      <c r="AS3" s="23">
        <v>10</v>
      </c>
      <c r="AT3" s="23">
        <v>1</v>
      </c>
      <c r="AU3" s="23">
        <v>0</v>
      </c>
    </row>
    <row r="4" spans="1:47">
      <c r="A4" s="23" t="s">
        <v>362</v>
      </c>
      <c r="B4" s="23"/>
      <c r="C4" s="23">
        <v>1</v>
      </c>
      <c r="D4" s="23"/>
      <c r="E4" s="23" t="s">
        <v>340</v>
      </c>
      <c r="F4" s="23" t="s">
        <v>383</v>
      </c>
      <c r="G4" s="27">
        <v>1929</v>
      </c>
      <c r="H4" s="27">
        <v>20</v>
      </c>
      <c r="I4" s="27">
        <v>25</v>
      </c>
      <c r="J4" s="27">
        <v>20</v>
      </c>
      <c r="K4" s="27">
        <v>5</v>
      </c>
      <c r="L4" s="27"/>
      <c r="M4" s="27"/>
      <c r="N4" s="27"/>
      <c r="O4" s="27"/>
      <c r="P4" s="28">
        <v>5</v>
      </c>
      <c r="Q4" s="28">
        <v>6.6891428571428566</v>
      </c>
      <c r="R4" s="28">
        <v>11.653142857142857</v>
      </c>
      <c r="S4" s="27">
        <v>60</v>
      </c>
      <c r="T4" s="29">
        <v>66.64</v>
      </c>
      <c r="U4" s="27">
        <v>49</v>
      </c>
      <c r="V4" s="27">
        <v>6</v>
      </c>
      <c r="W4" s="27">
        <v>40</v>
      </c>
      <c r="X4" s="29">
        <v>200</v>
      </c>
      <c r="Y4" s="27" t="s">
        <v>69</v>
      </c>
      <c r="Z4" s="27" t="s">
        <v>69</v>
      </c>
      <c r="AA4" s="29">
        <v>8</v>
      </c>
      <c r="AB4" s="29" t="s">
        <v>386</v>
      </c>
      <c r="AC4" s="29" t="s">
        <v>386</v>
      </c>
      <c r="AD4" s="29" t="s">
        <v>386</v>
      </c>
      <c r="AE4" s="29" t="s">
        <v>386</v>
      </c>
      <c r="AF4" s="29" t="s">
        <v>386</v>
      </c>
      <c r="AG4" s="27">
        <v>8</v>
      </c>
      <c r="AH4" s="27">
        <v>0</v>
      </c>
      <c r="AI4" s="27">
        <v>0</v>
      </c>
      <c r="AJ4" s="23" t="s">
        <v>363</v>
      </c>
      <c r="AK4" s="23" t="s">
        <v>364</v>
      </c>
      <c r="AL4" s="30" t="s">
        <v>365</v>
      </c>
      <c r="AM4" s="23"/>
      <c r="AN4" s="31" t="s">
        <v>399</v>
      </c>
      <c r="AO4" s="23" t="s">
        <v>368</v>
      </c>
      <c r="AP4" s="23" t="s">
        <v>71</v>
      </c>
      <c r="AQ4" s="34">
        <v>1100</v>
      </c>
      <c r="AR4" s="23" t="s">
        <v>78</v>
      </c>
      <c r="AS4" s="23">
        <v>11</v>
      </c>
      <c r="AT4" s="23">
        <v>0</v>
      </c>
      <c r="AU4" s="23">
        <v>0</v>
      </c>
    </row>
    <row r="5" spans="1:47">
      <c r="A5" s="23" t="s">
        <v>357</v>
      </c>
      <c r="B5" s="23"/>
      <c r="C5" s="23">
        <v>1</v>
      </c>
      <c r="D5" s="23"/>
      <c r="E5" s="23" t="s">
        <v>340</v>
      </c>
      <c r="F5" s="23" t="s">
        <v>384</v>
      </c>
      <c r="G5" s="27">
        <v>1929</v>
      </c>
      <c r="H5" s="27">
        <v>20</v>
      </c>
      <c r="I5" s="27">
        <v>25</v>
      </c>
      <c r="J5" s="27">
        <v>20</v>
      </c>
      <c r="K5" s="27">
        <v>5</v>
      </c>
      <c r="L5" s="27"/>
      <c r="M5" s="27"/>
      <c r="N5" s="27"/>
      <c r="O5" s="27"/>
      <c r="P5" s="28">
        <v>5</v>
      </c>
      <c r="Q5" s="28">
        <v>7.1891428571428566</v>
      </c>
      <c r="R5" s="28">
        <v>11.903142857142857</v>
      </c>
      <c r="S5" s="27">
        <v>60</v>
      </c>
      <c r="T5" s="29">
        <v>66.64</v>
      </c>
      <c r="U5" s="27">
        <v>49</v>
      </c>
      <c r="V5" s="27">
        <v>7</v>
      </c>
      <c r="W5" s="27">
        <v>50</v>
      </c>
      <c r="X5" s="29">
        <v>200</v>
      </c>
      <c r="Y5" s="27" t="s">
        <v>69</v>
      </c>
      <c r="Z5" s="27" t="s">
        <v>69</v>
      </c>
      <c r="AA5" s="29">
        <v>1</v>
      </c>
      <c r="AB5" s="29">
        <v>8</v>
      </c>
      <c r="AC5" s="29" t="s">
        <v>386</v>
      </c>
      <c r="AD5" s="29" t="s">
        <v>386</v>
      </c>
      <c r="AE5" s="29" t="s">
        <v>386</v>
      </c>
      <c r="AF5" s="29" t="s">
        <v>386</v>
      </c>
      <c r="AG5" s="27">
        <v>9</v>
      </c>
      <c r="AH5" s="27">
        <v>0</v>
      </c>
      <c r="AI5" s="27">
        <v>0</v>
      </c>
      <c r="AJ5" s="23" t="s">
        <v>363</v>
      </c>
      <c r="AK5" s="23" t="s">
        <v>364</v>
      </c>
      <c r="AL5" s="30" t="s">
        <v>366</v>
      </c>
      <c r="AM5" s="23"/>
      <c r="AN5" s="31" t="s">
        <v>399</v>
      </c>
      <c r="AO5" s="23" t="s">
        <v>369</v>
      </c>
      <c r="AP5" s="23" t="s">
        <v>71</v>
      </c>
      <c r="AQ5" s="34">
        <v>1102</v>
      </c>
      <c r="AR5" s="23" t="s">
        <v>78</v>
      </c>
      <c r="AS5" s="23">
        <v>11</v>
      </c>
      <c r="AT5" s="23">
        <v>2</v>
      </c>
      <c r="AU5" s="23">
        <v>0</v>
      </c>
    </row>
    <row r="6" spans="1:47">
      <c r="A6" s="23" t="s">
        <v>358</v>
      </c>
      <c r="B6" s="23"/>
      <c r="C6" s="23">
        <v>1</v>
      </c>
      <c r="D6" s="23"/>
      <c r="E6" s="23" t="s">
        <v>340</v>
      </c>
      <c r="F6" s="23" t="s">
        <v>385</v>
      </c>
      <c r="G6" s="27">
        <v>1929</v>
      </c>
      <c r="H6" s="27">
        <v>20</v>
      </c>
      <c r="I6" s="27">
        <v>25</v>
      </c>
      <c r="J6" s="27">
        <v>20</v>
      </c>
      <c r="K6" s="27">
        <v>5</v>
      </c>
      <c r="L6" s="27"/>
      <c r="M6" s="27"/>
      <c r="N6" s="27"/>
      <c r="O6" s="27"/>
      <c r="P6" s="28">
        <v>5</v>
      </c>
      <c r="Q6" s="28">
        <v>7.6891428571428566</v>
      </c>
      <c r="R6" s="28">
        <v>12.083142857142857</v>
      </c>
      <c r="S6" s="27">
        <v>60</v>
      </c>
      <c r="T6" s="29">
        <v>66.64</v>
      </c>
      <c r="U6" s="27">
        <v>49</v>
      </c>
      <c r="V6" s="27">
        <v>8</v>
      </c>
      <c r="W6" s="27">
        <v>53</v>
      </c>
      <c r="X6" s="29">
        <v>200</v>
      </c>
      <c r="Y6" s="27" t="s">
        <v>69</v>
      </c>
      <c r="Z6" s="27" t="s">
        <v>69</v>
      </c>
      <c r="AA6" s="29">
        <v>3</v>
      </c>
      <c r="AB6" s="29">
        <v>8</v>
      </c>
      <c r="AC6" s="29" t="s">
        <v>386</v>
      </c>
      <c r="AD6" s="29" t="s">
        <v>386</v>
      </c>
      <c r="AE6" s="29" t="s">
        <v>386</v>
      </c>
      <c r="AF6" s="29" t="s">
        <v>386</v>
      </c>
      <c r="AG6" s="27">
        <v>11</v>
      </c>
      <c r="AH6" s="27">
        <v>0</v>
      </c>
      <c r="AI6" s="27">
        <v>0</v>
      </c>
      <c r="AJ6" s="23" t="s">
        <v>363</v>
      </c>
      <c r="AK6" s="23" t="s">
        <v>364</v>
      </c>
      <c r="AL6" s="30" t="s">
        <v>367</v>
      </c>
      <c r="AM6" s="23"/>
      <c r="AN6" s="31" t="s">
        <v>399</v>
      </c>
      <c r="AO6" s="23" t="s">
        <v>370</v>
      </c>
      <c r="AP6" s="23" t="s">
        <v>71</v>
      </c>
      <c r="AQ6" s="34">
        <v>1104</v>
      </c>
      <c r="AR6" s="23" t="s">
        <v>78</v>
      </c>
      <c r="AS6" s="23">
        <v>11</v>
      </c>
      <c r="AT6" s="23">
        <v>4</v>
      </c>
      <c r="AU6" s="23">
        <v>0</v>
      </c>
    </row>
    <row r="7" spans="1:47">
      <c r="A7" s="23" t="s">
        <v>371</v>
      </c>
      <c r="B7" s="23" t="s">
        <v>372</v>
      </c>
      <c r="C7" s="23">
        <v>2</v>
      </c>
      <c r="D7" s="23"/>
      <c r="E7" s="23" t="s">
        <v>60</v>
      </c>
      <c r="F7" s="23" t="s">
        <v>377</v>
      </c>
      <c r="G7" s="27">
        <v>1951</v>
      </c>
      <c r="H7" s="27">
        <v>20</v>
      </c>
      <c r="I7" s="27">
        <v>25</v>
      </c>
      <c r="J7" s="27">
        <v>20</v>
      </c>
      <c r="K7" s="27">
        <v>5</v>
      </c>
      <c r="L7" s="27">
        <v>5</v>
      </c>
      <c r="M7" s="27"/>
      <c r="N7" s="27"/>
      <c r="O7" s="27"/>
      <c r="P7" s="28">
        <v>10</v>
      </c>
      <c r="Q7" s="28">
        <v>6.9302857142857146</v>
      </c>
      <c r="R7" s="28">
        <v>9.8129523809523818</v>
      </c>
      <c r="S7" s="27">
        <v>75</v>
      </c>
      <c r="T7" s="29">
        <v>84.320000000000007</v>
      </c>
      <c r="U7" s="27">
        <v>62</v>
      </c>
      <c r="V7" s="27">
        <v>4</v>
      </c>
      <c r="W7" s="27">
        <v>40</v>
      </c>
      <c r="X7" s="29">
        <v>200</v>
      </c>
      <c r="Y7" s="27" t="s">
        <v>69</v>
      </c>
      <c r="Z7" s="27" t="s">
        <v>69</v>
      </c>
      <c r="AA7" s="29">
        <v>1</v>
      </c>
      <c r="AB7" s="29">
        <v>8</v>
      </c>
      <c r="AC7" s="29" t="s">
        <v>386</v>
      </c>
      <c r="AD7" s="29" t="s">
        <v>386</v>
      </c>
      <c r="AE7" s="29" t="s">
        <v>386</v>
      </c>
      <c r="AF7" s="29" t="s">
        <v>386</v>
      </c>
      <c r="AG7" s="27">
        <v>9</v>
      </c>
      <c r="AH7" s="27">
        <v>0</v>
      </c>
      <c r="AI7" s="27">
        <v>0</v>
      </c>
      <c r="AJ7" s="23" t="s">
        <v>400</v>
      </c>
      <c r="AK7" s="23" t="s">
        <v>371</v>
      </c>
      <c r="AL7" s="30"/>
      <c r="AM7" s="23"/>
      <c r="AN7" s="31" t="s">
        <v>219</v>
      </c>
      <c r="AO7" s="23" t="s">
        <v>374</v>
      </c>
      <c r="AP7" s="23" t="s">
        <v>71</v>
      </c>
      <c r="AQ7" s="34">
        <v>2004</v>
      </c>
      <c r="AR7" s="23" t="s">
        <v>78</v>
      </c>
      <c r="AS7" s="23">
        <v>20</v>
      </c>
      <c r="AT7" s="23">
        <v>4</v>
      </c>
      <c r="AU7" s="23">
        <v>0</v>
      </c>
    </row>
    <row r="8" spans="1:47">
      <c r="A8" s="23" t="s">
        <v>371</v>
      </c>
      <c r="B8" s="23" t="s">
        <v>373</v>
      </c>
      <c r="C8" s="23">
        <v>1</v>
      </c>
      <c r="D8" s="23"/>
      <c r="E8" s="23" t="s">
        <v>60</v>
      </c>
      <c r="F8" s="23" t="s">
        <v>379</v>
      </c>
      <c r="G8" s="27">
        <v>1951</v>
      </c>
      <c r="H8" s="27">
        <v>20</v>
      </c>
      <c r="I8" s="27">
        <v>25</v>
      </c>
      <c r="J8" s="27">
        <v>20</v>
      </c>
      <c r="K8" s="27">
        <v>5</v>
      </c>
      <c r="L8" s="27"/>
      <c r="M8" s="27"/>
      <c r="N8" s="27"/>
      <c r="O8" s="27"/>
      <c r="P8" s="28">
        <v>5</v>
      </c>
      <c r="Q8" s="28">
        <v>6.573142857142857</v>
      </c>
      <c r="R8" s="28">
        <v>9.3891428571428577</v>
      </c>
      <c r="S8" s="27">
        <v>75</v>
      </c>
      <c r="T8" s="29">
        <v>84.320000000000007</v>
      </c>
      <c r="U8" s="27">
        <v>62</v>
      </c>
      <c r="V8" s="27">
        <v>4</v>
      </c>
      <c r="W8" s="27">
        <v>30</v>
      </c>
      <c r="X8" s="29">
        <v>150</v>
      </c>
      <c r="Y8" s="27" t="s">
        <v>69</v>
      </c>
      <c r="Z8" s="27" t="s">
        <v>78</v>
      </c>
      <c r="AA8" s="29">
        <v>1</v>
      </c>
      <c r="AB8" s="29">
        <v>8</v>
      </c>
      <c r="AC8" s="29" t="s">
        <v>386</v>
      </c>
      <c r="AD8" s="29" t="s">
        <v>386</v>
      </c>
      <c r="AE8" s="29" t="s">
        <v>386</v>
      </c>
      <c r="AF8" s="29" t="s">
        <v>386</v>
      </c>
      <c r="AG8" s="27">
        <v>9</v>
      </c>
      <c r="AH8" s="27">
        <v>0</v>
      </c>
      <c r="AI8" s="27">
        <v>0</v>
      </c>
      <c r="AJ8" s="23" t="s">
        <v>400</v>
      </c>
      <c r="AK8" s="23" t="s">
        <v>371</v>
      </c>
      <c r="AL8" s="30"/>
      <c r="AM8" s="23"/>
      <c r="AN8" s="31" t="s">
        <v>399</v>
      </c>
      <c r="AO8" s="23" t="s">
        <v>374</v>
      </c>
      <c r="AP8" s="23" t="s">
        <v>211</v>
      </c>
      <c r="AQ8" s="34">
        <v>2005</v>
      </c>
      <c r="AR8" s="23" t="s">
        <v>78</v>
      </c>
      <c r="AS8" s="23">
        <v>20</v>
      </c>
      <c r="AT8" s="23">
        <v>5</v>
      </c>
      <c r="AU8" s="23">
        <v>0</v>
      </c>
    </row>
    <row r="9" spans="1:47">
      <c r="A9" s="23" t="s">
        <v>371</v>
      </c>
      <c r="B9" s="23" t="s">
        <v>373</v>
      </c>
      <c r="C9" s="23">
        <v>1</v>
      </c>
      <c r="D9" s="23"/>
      <c r="E9" s="23" t="s">
        <v>60</v>
      </c>
      <c r="F9" s="23" t="s">
        <v>379</v>
      </c>
      <c r="G9" s="27">
        <v>1951</v>
      </c>
      <c r="H9" s="27">
        <v>20</v>
      </c>
      <c r="I9" s="27">
        <v>25</v>
      </c>
      <c r="J9" s="27">
        <v>20</v>
      </c>
      <c r="K9" s="27">
        <v>5</v>
      </c>
      <c r="L9" s="27"/>
      <c r="M9" s="27"/>
      <c r="N9" s="27"/>
      <c r="O9" s="27"/>
      <c r="P9" s="28">
        <v>5</v>
      </c>
      <c r="Q9" s="28">
        <v>6.573142857142857</v>
      </c>
      <c r="R9" s="28">
        <v>9.3891428571428577</v>
      </c>
      <c r="S9" s="27">
        <v>75</v>
      </c>
      <c r="T9" s="29">
        <v>84.320000000000007</v>
      </c>
      <c r="U9" s="27">
        <v>62</v>
      </c>
      <c r="V9" s="27">
        <v>4</v>
      </c>
      <c r="W9" s="27">
        <v>30</v>
      </c>
      <c r="X9" s="29">
        <v>150</v>
      </c>
      <c r="Y9" s="27" t="s">
        <v>102</v>
      </c>
      <c r="Z9" s="27" t="s">
        <v>315</v>
      </c>
      <c r="AA9" s="29">
        <v>1</v>
      </c>
      <c r="AB9" s="29">
        <v>8</v>
      </c>
      <c r="AC9" s="29" t="s">
        <v>386</v>
      </c>
      <c r="AD9" s="29" t="s">
        <v>386</v>
      </c>
      <c r="AE9" s="29" t="s">
        <v>386</v>
      </c>
      <c r="AF9" s="29" t="s">
        <v>386</v>
      </c>
      <c r="AG9" s="27">
        <v>9</v>
      </c>
      <c r="AH9" s="27">
        <v>0</v>
      </c>
      <c r="AI9" s="27">
        <v>0</v>
      </c>
      <c r="AJ9" s="23" t="s">
        <v>400</v>
      </c>
      <c r="AK9" s="23" t="s">
        <v>371</v>
      </c>
      <c r="AL9" s="30"/>
      <c r="AM9" s="23"/>
      <c r="AN9" s="31" t="s">
        <v>399</v>
      </c>
      <c r="AO9" s="23" t="s">
        <v>374</v>
      </c>
      <c r="AP9" s="23" t="s">
        <v>211</v>
      </c>
      <c r="AQ9" s="34">
        <v>2005.01</v>
      </c>
      <c r="AR9" s="23" t="s">
        <v>78</v>
      </c>
      <c r="AS9" s="23">
        <v>20</v>
      </c>
      <c r="AT9" s="23">
        <v>5</v>
      </c>
      <c r="AU9" s="23">
        <v>1</v>
      </c>
    </row>
    <row r="10" spans="1:47">
      <c r="A10" s="23" t="s">
        <v>375</v>
      </c>
      <c r="B10" s="23" t="s">
        <v>372</v>
      </c>
      <c r="C10" s="23">
        <v>2</v>
      </c>
      <c r="D10" s="23"/>
      <c r="E10" s="23" t="s">
        <v>60</v>
      </c>
      <c r="F10" s="23" t="s">
        <v>378</v>
      </c>
      <c r="G10" s="27">
        <v>1956</v>
      </c>
      <c r="H10" s="27">
        <v>20</v>
      </c>
      <c r="I10" s="27">
        <v>25</v>
      </c>
      <c r="J10" s="27">
        <v>20</v>
      </c>
      <c r="K10" s="27">
        <v>5</v>
      </c>
      <c r="L10" s="27">
        <v>5</v>
      </c>
      <c r="M10" s="27"/>
      <c r="N10" s="27"/>
      <c r="O10" s="27"/>
      <c r="P10" s="28">
        <v>10</v>
      </c>
      <c r="Q10" s="28">
        <v>7.9302857142857146</v>
      </c>
      <c r="R10" s="28">
        <v>10.079619047619047</v>
      </c>
      <c r="S10" s="27">
        <v>78</v>
      </c>
      <c r="T10" s="29">
        <v>84.320000000000007</v>
      </c>
      <c r="U10" s="27">
        <v>62</v>
      </c>
      <c r="V10" s="27">
        <v>6</v>
      </c>
      <c r="W10" s="27">
        <v>50</v>
      </c>
      <c r="X10" s="29">
        <v>200</v>
      </c>
      <c r="Y10" s="27" t="s">
        <v>69</v>
      </c>
      <c r="Z10" s="27" t="s">
        <v>78</v>
      </c>
      <c r="AA10" s="29">
        <v>1</v>
      </c>
      <c r="AB10" s="29">
        <v>8</v>
      </c>
      <c r="AC10" s="29" t="s">
        <v>386</v>
      </c>
      <c r="AD10" s="29" t="s">
        <v>386</v>
      </c>
      <c r="AE10" s="29" t="s">
        <v>386</v>
      </c>
      <c r="AF10" s="29" t="s">
        <v>386</v>
      </c>
      <c r="AG10" s="27">
        <v>9</v>
      </c>
      <c r="AH10" s="27">
        <v>0</v>
      </c>
      <c r="AI10" s="27">
        <v>0</v>
      </c>
      <c r="AJ10" s="23" t="s">
        <v>400</v>
      </c>
      <c r="AK10" s="23" t="s">
        <v>375</v>
      </c>
      <c r="AL10" s="30"/>
      <c r="AM10" s="23"/>
      <c r="AN10" s="31" t="s">
        <v>219</v>
      </c>
      <c r="AO10" s="23" t="s">
        <v>376</v>
      </c>
      <c r="AP10" s="23" t="s">
        <v>71</v>
      </c>
      <c r="AQ10" s="34">
        <v>2010</v>
      </c>
      <c r="AR10" s="23" t="s">
        <v>78</v>
      </c>
      <c r="AS10" s="23">
        <v>20</v>
      </c>
      <c r="AT10" s="23">
        <v>10</v>
      </c>
      <c r="AU10" s="23">
        <v>0</v>
      </c>
    </row>
    <row r="11" spans="1:47">
      <c r="A11" s="23" t="s">
        <v>375</v>
      </c>
      <c r="B11" s="23" t="s">
        <v>372</v>
      </c>
      <c r="C11" s="23">
        <v>1</v>
      </c>
      <c r="D11" s="23"/>
      <c r="E11" s="23" t="s">
        <v>60</v>
      </c>
      <c r="F11" s="23" t="s">
        <v>382</v>
      </c>
      <c r="G11" s="27">
        <v>1956</v>
      </c>
      <c r="H11" s="27">
        <v>20</v>
      </c>
      <c r="I11" s="27">
        <v>25</v>
      </c>
      <c r="J11" s="27">
        <v>20</v>
      </c>
      <c r="K11" s="27">
        <v>5</v>
      </c>
      <c r="L11" s="27"/>
      <c r="M11" s="27"/>
      <c r="N11" s="27"/>
      <c r="O11" s="27"/>
      <c r="P11" s="28">
        <v>5</v>
      </c>
      <c r="Q11" s="28">
        <v>7.573142857142857</v>
      </c>
      <c r="R11" s="28">
        <v>9.709142857142858</v>
      </c>
      <c r="S11" s="27">
        <v>78</v>
      </c>
      <c r="T11" s="29">
        <v>84.320000000000007</v>
      </c>
      <c r="U11" s="27">
        <v>62</v>
      </c>
      <c r="V11" s="27">
        <v>6</v>
      </c>
      <c r="W11" s="27">
        <v>48</v>
      </c>
      <c r="X11" s="29">
        <v>185</v>
      </c>
      <c r="Y11" s="27" t="s">
        <v>69</v>
      </c>
      <c r="Z11" s="27" t="s">
        <v>78</v>
      </c>
      <c r="AA11" s="29">
        <v>1</v>
      </c>
      <c r="AB11" s="29">
        <v>8</v>
      </c>
      <c r="AC11" s="29" t="s">
        <v>386</v>
      </c>
      <c r="AD11" s="29" t="s">
        <v>386</v>
      </c>
      <c r="AE11" s="29" t="s">
        <v>386</v>
      </c>
      <c r="AF11" s="29" t="s">
        <v>386</v>
      </c>
      <c r="AG11" s="27">
        <v>9</v>
      </c>
      <c r="AH11" s="27">
        <v>0</v>
      </c>
      <c r="AI11" s="27">
        <v>0</v>
      </c>
      <c r="AJ11" s="23" t="s">
        <v>400</v>
      </c>
      <c r="AK11" s="23" t="s">
        <v>375</v>
      </c>
      <c r="AL11" s="30"/>
      <c r="AM11" s="23"/>
      <c r="AN11" s="31" t="s">
        <v>399</v>
      </c>
      <c r="AO11" s="23" t="s">
        <v>376</v>
      </c>
      <c r="AP11" s="23" t="s">
        <v>89</v>
      </c>
      <c r="AQ11" s="34">
        <v>2011</v>
      </c>
      <c r="AR11" s="23" t="s">
        <v>78</v>
      </c>
      <c r="AS11" s="23">
        <v>20</v>
      </c>
      <c r="AT11" s="23">
        <v>11</v>
      </c>
      <c r="AU11" s="23">
        <v>0</v>
      </c>
    </row>
    <row r="12" spans="1:47">
      <c r="A12" s="23" t="s">
        <v>375</v>
      </c>
      <c r="B12" s="23" t="s">
        <v>373</v>
      </c>
      <c r="C12" s="23">
        <v>2</v>
      </c>
      <c r="D12" s="23"/>
      <c r="E12" s="23" t="s">
        <v>60</v>
      </c>
      <c r="F12" s="23" t="s">
        <v>381</v>
      </c>
      <c r="G12" s="27">
        <v>1956</v>
      </c>
      <c r="H12" s="27">
        <v>20</v>
      </c>
      <c r="I12" s="27">
        <v>25</v>
      </c>
      <c r="J12" s="27">
        <v>20</v>
      </c>
      <c r="K12" s="27">
        <v>5</v>
      </c>
      <c r="L12" s="27">
        <v>5</v>
      </c>
      <c r="M12" s="27"/>
      <c r="N12" s="27"/>
      <c r="O12" s="27"/>
      <c r="P12" s="28">
        <v>10</v>
      </c>
      <c r="Q12" s="28">
        <v>7.9302857142857146</v>
      </c>
      <c r="R12" s="28">
        <v>9.9596190476190483</v>
      </c>
      <c r="S12" s="27">
        <v>78</v>
      </c>
      <c r="T12" s="29">
        <v>84.320000000000007</v>
      </c>
      <c r="U12" s="27">
        <v>62</v>
      </c>
      <c r="V12" s="27">
        <v>6</v>
      </c>
      <c r="W12" s="27">
        <v>32</v>
      </c>
      <c r="X12" s="29">
        <v>150</v>
      </c>
      <c r="Y12" s="27" t="s">
        <v>69</v>
      </c>
      <c r="Z12" s="27" t="s">
        <v>78</v>
      </c>
      <c r="AA12" s="29">
        <v>1</v>
      </c>
      <c r="AB12" s="29">
        <v>8</v>
      </c>
      <c r="AC12" s="29" t="s">
        <v>386</v>
      </c>
      <c r="AD12" s="29" t="s">
        <v>386</v>
      </c>
      <c r="AE12" s="29" t="s">
        <v>386</v>
      </c>
      <c r="AF12" s="29" t="s">
        <v>386</v>
      </c>
      <c r="AG12" s="27">
        <v>9</v>
      </c>
      <c r="AH12" s="27">
        <v>0</v>
      </c>
      <c r="AI12" s="27">
        <v>0</v>
      </c>
      <c r="AJ12" s="23" t="s">
        <v>400</v>
      </c>
      <c r="AK12" s="23" t="s">
        <v>375</v>
      </c>
      <c r="AL12" s="30"/>
      <c r="AM12" s="23"/>
      <c r="AN12" s="31" t="s">
        <v>219</v>
      </c>
      <c r="AO12" s="23" t="s">
        <v>376</v>
      </c>
      <c r="AP12" s="23" t="s">
        <v>211</v>
      </c>
      <c r="AQ12" s="34">
        <v>2012</v>
      </c>
      <c r="AR12" s="23" t="s">
        <v>78</v>
      </c>
      <c r="AS12" s="23">
        <v>20</v>
      </c>
      <c r="AT12" s="23">
        <v>12</v>
      </c>
      <c r="AU12" s="23">
        <v>0</v>
      </c>
    </row>
    <row r="13" spans="1:47">
      <c r="A13" s="23" t="s">
        <v>375</v>
      </c>
      <c r="B13" s="23" t="s">
        <v>373</v>
      </c>
      <c r="C13" s="23">
        <v>1</v>
      </c>
      <c r="D13" s="23"/>
      <c r="E13" s="23" t="s">
        <v>60</v>
      </c>
      <c r="F13" s="23" t="s">
        <v>380</v>
      </c>
      <c r="G13" s="27">
        <v>1956</v>
      </c>
      <c r="H13" s="27">
        <v>20</v>
      </c>
      <c r="I13" s="27">
        <v>25</v>
      </c>
      <c r="J13" s="27">
        <v>20</v>
      </c>
      <c r="K13" s="27">
        <v>5</v>
      </c>
      <c r="L13" s="27"/>
      <c r="M13" s="27"/>
      <c r="N13" s="27"/>
      <c r="O13" s="27"/>
      <c r="P13" s="28">
        <v>5</v>
      </c>
      <c r="Q13" s="28">
        <v>7.573142857142857</v>
      </c>
      <c r="R13" s="28">
        <v>9.6091428571428583</v>
      </c>
      <c r="S13" s="27">
        <v>78</v>
      </c>
      <c r="T13" s="29">
        <v>84.320000000000007</v>
      </c>
      <c r="U13" s="27">
        <v>62</v>
      </c>
      <c r="V13" s="27">
        <v>6</v>
      </c>
      <c r="W13" s="27">
        <v>33</v>
      </c>
      <c r="X13" s="29">
        <v>100</v>
      </c>
      <c r="Y13" s="27" t="s">
        <v>69</v>
      </c>
      <c r="Z13" s="27" t="s">
        <v>78</v>
      </c>
      <c r="AA13" s="29">
        <v>1</v>
      </c>
      <c r="AB13" s="29">
        <v>8</v>
      </c>
      <c r="AC13" s="29" t="s">
        <v>386</v>
      </c>
      <c r="AD13" s="29" t="s">
        <v>386</v>
      </c>
      <c r="AE13" s="29" t="s">
        <v>386</v>
      </c>
      <c r="AF13" s="29" t="s">
        <v>386</v>
      </c>
      <c r="AG13" s="27">
        <v>9</v>
      </c>
      <c r="AH13" s="27">
        <v>0</v>
      </c>
      <c r="AI13" s="27">
        <v>0</v>
      </c>
      <c r="AJ13" s="23" t="s">
        <v>400</v>
      </c>
      <c r="AK13" s="23" t="s">
        <v>375</v>
      </c>
      <c r="AL13" s="30"/>
      <c r="AM13" s="23"/>
      <c r="AN13" s="31" t="s">
        <v>399</v>
      </c>
      <c r="AO13" s="23" t="s">
        <v>376</v>
      </c>
      <c r="AP13" s="23" t="s">
        <v>214</v>
      </c>
      <c r="AQ13" s="34">
        <v>2013</v>
      </c>
      <c r="AR13" s="23" t="s">
        <v>78</v>
      </c>
      <c r="AS13" s="23">
        <v>20</v>
      </c>
      <c r="AT13" s="23">
        <v>13</v>
      </c>
      <c r="AU13" s="23">
        <v>0</v>
      </c>
    </row>
    <row r="14" spans="1:47">
      <c r="A14" s="23" t="s">
        <v>419</v>
      </c>
      <c r="B14" s="23" t="s">
        <v>373</v>
      </c>
      <c r="C14" s="23">
        <v>2</v>
      </c>
      <c r="D14" s="23"/>
      <c r="E14" s="23" t="s">
        <v>60</v>
      </c>
      <c r="F14" s="23" t="s">
        <v>421</v>
      </c>
      <c r="G14" s="27">
        <v>1971</v>
      </c>
      <c r="H14" s="27">
        <v>20</v>
      </c>
      <c r="I14" s="27">
        <v>25</v>
      </c>
      <c r="J14" s="27">
        <v>20</v>
      </c>
      <c r="K14" s="27">
        <v>5</v>
      </c>
      <c r="L14" s="27">
        <v>5</v>
      </c>
      <c r="M14" s="27"/>
      <c r="N14" s="27"/>
      <c r="O14" s="27"/>
      <c r="P14" s="28">
        <v>10</v>
      </c>
      <c r="Q14" s="28">
        <v>17.454285714285717</v>
      </c>
      <c r="R14" s="28">
        <v>26.747619047619054</v>
      </c>
      <c r="S14" s="27">
        <v>102</v>
      </c>
      <c r="T14" s="29">
        <v>244.8</v>
      </c>
      <c r="U14" s="27">
        <v>180</v>
      </c>
      <c r="V14" s="27">
        <v>9</v>
      </c>
      <c r="W14" s="27">
        <v>98</v>
      </c>
      <c r="X14" s="29">
        <v>150</v>
      </c>
      <c r="Y14" s="27" t="s">
        <v>69</v>
      </c>
      <c r="Z14" s="27" t="s">
        <v>315</v>
      </c>
      <c r="AA14" s="29">
        <v>4</v>
      </c>
      <c r="AB14" s="29">
        <v>8</v>
      </c>
      <c r="AC14" s="29" t="s">
        <v>386</v>
      </c>
      <c r="AD14" s="29" t="s">
        <v>386</v>
      </c>
      <c r="AE14" s="29" t="s">
        <v>386</v>
      </c>
      <c r="AF14" s="29" t="s">
        <v>386</v>
      </c>
      <c r="AG14" s="27">
        <v>12</v>
      </c>
      <c r="AH14" s="27">
        <v>0</v>
      </c>
      <c r="AI14" s="27">
        <v>0</v>
      </c>
      <c r="AJ14" s="23" t="s">
        <v>401</v>
      </c>
      <c r="AK14" s="23" t="s">
        <v>419</v>
      </c>
      <c r="AL14" s="30"/>
      <c r="AM14" s="23"/>
      <c r="AN14" s="31" t="s">
        <v>219</v>
      </c>
      <c r="AO14" s="23" t="s">
        <v>314</v>
      </c>
      <c r="AP14" s="23" t="s">
        <v>211</v>
      </c>
      <c r="AQ14" s="34">
        <v>2145</v>
      </c>
      <c r="AR14" s="23" t="s">
        <v>78</v>
      </c>
      <c r="AS14" s="23">
        <v>21</v>
      </c>
      <c r="AT14" s="23">
        <v>45</v>
      </c>
      <c r="AU14" s="23">
        <v>0</v>
      </c>
    </row>
    <row r="15" spans="1:47">
      <c r="A15" s="23" t="s">
        <v>419</v>
      </c>
      <c r="B15" s="23" t="s">
        <v>373</v>
      </c>
      <c r="C15" s="23">
        <v>2</v>
      </c>
      <c r="D15" s="23"/>
      <c r="E15" s="23" t="s">
        <v>60</v>
      </c>
      <c r="F15" s="23" t="s">
        <v>421</v>
      </c>
      <c r="G15" s="27">
        <v>1971</v>
      </c>
      <c r="H15" s="27">
        <v>20</v>
      </c>
      <c r="I15" s="27">
        <v>25</v>
      </c>
      <c r="J15" s="27">
        <v>20</v>
      </c>
      <c r="K15" s="27">
        <v>5</v>
      </c>
      <c r="L15" s="27">
        <v>5</v>
      </c>
      <c r="M15" s="27"/>
      <c r="N15" s="27"/>
      <c r="O15" s="27"/>
      <c r="P15" s="28">
        <v>10</v>
      </c>
      <c r="Q15" s="28">
        <v>17.454285714285717</v>
      </c>
      <c r="R15" s="28">
        <v>26.747619047619054</v>
      </c>
      <c r="S15" s="27">
        <v>102</v>
      </c>
      <c r="T15" s="29">
        <v>244.8</v>
      </c>
      <c r="U15" s="27">
        <v>180</v>
      </c>
      <c r="V15" s="27">
        <v>9</v>
      </c>
      <c r="W15" s="27">
        <v>98</v>
      </c>
      <c r="X15" s="29">
        <v>150</v>
      </c>
      <c r="Y15" s="27" t="s">
        <v>102</v>
      </c>
      <c r="Z15" s="27" t="s">
        <v>316</v>
      </c>
      <c r="AA15" s="29">
        <v>4</v>
      </c>
      <c r="AB15" s="29">
        <v>8</v>
      </c>
      <c r="AC15" s="29" t="s">
        <v>386</v>
      </c>
      <c r="AD15" s="29" t="s">
        <v>386</v>
      </c>
      <c r="AE15" s="29" t="s">
        <v>386</v>
      </c>
      <c r="AF15" s="29" t="s">
        <v>386</v>
      </c>
      <c r="AG15" s="27">
        <v>12</v>
      </c>
      <c r="AH15" s="27">
        <v>0</v>
      </c>
      <c r="AI15" s="27">
        <v>0</v>
      </c>
      <c r="AJ15" s="23" t="s">
        <v>401</v>
      </c>
      <c r="AK15" s="23" t="s">
        <v>419</v>
      </c>
      <c r="AL15" s="30"/>
      <c r="AM15" s="23"/>
      <c r="AN15" s="31" t="s">
        <v>219</v>
      </c>
      <c r="AO15" s="23" t="s">
        <v>314</v>
      </c>
      <c r="AP15" s="23" t="s">
        <v>211</v>
      </c>
      <c r="AQ15" s="34">
        <v>2145.0100000000002</v>
      </c>
      <c r="AR15" s="23" t="s">
        <v>78</v>
      </c>
      <c r="AS15" s="23">
        <v>21</v>
      </c>
      <c r="AT15" s="23">
        <v>45</v>
      </c>
      <c r="AU15" s="23">
        <v>1</v>
      </c>
    </row>
    <row r="16" spans="1:47">
      <c r="A16" s="23" t="s">
        <v>419</v>
      </c>
      <c r="B16" s="23" t="s">
        <v>373</v>
      </c>
      <c r="C16" s="23">
        <v>2</v>
      </c>
      <c r="D16" s="23"/>
      <c r="E16" s="23" t="s">
        <v>60</v>
      </c>
      <c r="F16" s="23" t="s">
        <v>421</v>
      </c>
      <c r="G16" s="27">
        <v>1971</v>
      </c>
      <c r="H16" s="27">
        <v>20</v>
      </c>
      <c r="I16" s="27">
        <v>25</v>
      </c>
      <c r="J16" s="27">
        <v>20</v>
      </c>
      <c r="K16" s="27">
        <v>5</v>
      </c>
      <c r="L16" s="27">
        <v>5</v>
      </c>
      <c r="M16" s="27"/>
      <c r="N16" s="27"/>
      <c r="O16" s="27"/>
      <c r="P16" s="28">
        <v>10</v>
      </c>
      <c r="Q16" s="28">
        <v>17.454285714285717</v>
      </c>
      <c r="R16" s="28">
        <v>26.747619047619054</v>
      </c>
      <c r="S16" s="27">
        <v>102</v>
      </c>
      <c r="T16" s="29">
        <v>244.8</v>
      </c>
      <c r="U16" s="27">
        <v>180</v>
      </c>
      <c r="V16" s="27">
        <v>9</v>
      </c>
      <c r="W16" s="27">
        <v>98</v>
      </c>
      <c r="X16" s="29">
        <v>150</v>
      </c>
      <c r="Y16" s="27" t="s">
        <v>423</v>
      </c>
      <c r="Z16" s="27" t="s">
        <v>390</v>
      </c>
      <c r="AA16" s="29">
        <v>4</v>
      </c>
      <c r="AB16" s="29">
        <v>8</v>
      </c>
      <c r="AC16" s="29" t="s">
        <v>386</v>
      </c>
      <c r="AD16" s="29" t="s">
        <v>386</v>
      </c>
      <c r="AE16" s="29" t="s">
        <v>386</v>
      </c>
      <c r="AF16" s="29" t="s">
        <v>386</v>
      </c>
      <c r="AG16" s="27">
        <v>12</v>
      </c>
      <c r="AH16" s="27">
        <v>0</v>
      </c>
      <c r="AI16" s="27">
        <v>0</v>
      </c>
      <c r="AJ16" s="23" t="s">
        <v>401</v>
      </c>
      <c r="AK16" s="23" t="s">
        <v>419</v>
      </c>
      <c r="AL16" s="30"/>
      <c r="AM16" s="23"/>
      <c r="AN16" s="31" t="s">
        <v>219</v>
      </c>
      <c r="AO16" s="23" t="s">
        <v>314</v>
      </c>
      <c r="AP16" s="23" t="s">
        <v>211</v>
      </c>
      <c r="AQ16" s="34">
        <v>2145.02</v>
      </c>
      <c r="AR16" s="23" t="s">
        <v>191</v>
      </c>
      <c r="AS16" s="23">
        <v>21</v>
      </c>
      <c r="AT16" s="23">
        <v>45</v>
      </c>
      <c r="AU16" s="23">
        <v>2</v>
      </c>
    </row>
    <row r="17" spans="1:47">
      <c r="A17" s="23" t="s">
        <v>419</v>
      </c>
      <c r="B17" s="23" t="s">
        <v>420</v>
      </c>
      <c r="C17" s="23">
        <v>2</v>
      </c>
      <c r="D17" s="23"/>
      <c r="E17" s="23" t="s">
        <v>60</v>
      </c>
      <c r="F17" s="23" t="s">
        <v>422</v>
      </c>
      <c r="G17" s="27">
        <v>1971</v>
      </c>
      <c r="H17" s="27">
        <v>20</v>
      </c>
      <c r="I17" s="27">
        <v>25</v>
      </c>
      <c r="J17" s="27">
        <v>20</v>
      </c>
      <c r="K17" s="27">
        <v>5</v>
      </c>
      <c r="L17" s="27">
        <v>5</v>
      </c>
      <c r="M17" s="27"/>
      <c r="N17" s="27"/>
      <c r="O17" s="27"/>
      <c r="P17" s="28">
        <v>10</v>
      </c>
      <c r="Q17" s="28">
        <v>17.454285714285717</v>
      </c>
      <c r="R17" s="28">
        <v>26.747619047619054</v>
      </c>
      <c r="S17" s="27">
        <v>102</v>
      </c>
      <c r="T17" s="29">
        <v>244.8</v>
      </c>
      <c r="U17" s="27">
        <v>180</v>
      </c>
      <c r="V17" s="27">
        <v>9</v>
      </c>
      <c r="W17" s="27">
        <v>98</v>
      </c>
      <c r="X17" s="29">
        <v>100</v>
      </c>
      <c r="Y17" s="27" t="s">
        <v>69</v>
      </c>
      <c r="Z17" s="27" t="s">
        <v>315</v>
      </c>
      <c r="AA17" s="29">
        <v>4</v>
      </c>
      <c r="AB17" s="29">
        <v>8</v>
      </c>
      <c r="AC17" s="29" t="s">
        <v>386</v>
      </c>
      <c r="AD17" s="29" t="s">
        <v>386</v>
      </c>
      <c r="AE17" s="29" t="s">
        <v>386</v>
      </c>
      <c r="AF17" s="29" t="s">
        <v>386</v>
      </c>
      <c r="AG17" s="27">
        <v>12</v>
      </c>
      <c r="AH17" s="27">
        <v>0</v>
      </c>
      <c r="AI17" s="27">
        <v>0</v>
      </c>
      <c r="AJ17" s="23" t="s">
        <v>401</v>
      </c>
      <c r="AK17" s="23" t="s">
        <v>419</v>
      </c>
      <c r="AL17" s="30"/>
      <c r="AM17" s="23"/>
      <c r="AN17" s="31" t="s">
        <v>219</v>
      </c>
      <c r="AO17" s="23" t="s">
        <v>314</v>
      </c>
      <c r="AP17" s="23" t="s">
        <v>214</v>
      </c>
      <c r="AQ17" s="34">
        <v>2146</v>
      </c>
      <c r="AR17" s="23" t="s">
        <v>78</v>
      </c>
      <c r="AS17" s="23">
        <v>21</v>
      </c>
      <c r="AT17" s="23">
        <v>46</v>
      </c>
      <c r="AU17" s="23">
        <v>0</v>
      </c>
    </row>
    <row r="18" spans="1:47">
      <c r="A18" s="23" t="s">
        <v>419</v>
      </c>
      <c r="B18" s="23" t="s">
        <v>420</v>
      </c>
      <c r="C18" s="23">
        <v>2</v>
      </c>
      <c r="D18" s="23"/>
      <c r="E18" s="23" t="s">
        <v>60</v>
      </c>
      <c r="F18" s="23" t="s">
        <v>422</v>
      </c>
      <c r="G18" s="27">
        <v>1971</v>
      </c>
      <c r="H18" s="27">
        <v>20</v>
      </c>
      <c r="I18" s="27">
        <v>25</v>
      </c>
      <c r="J18" s="27">
        <v>20</v>
      </c>
      <c r="K18" s="27">
        <v>5</v>
      </c>
      <c r="L18" s="27">
        <v>5</v>
      </c>
      <c r="M18" s="27"/>
      <c r="N18" s="27"/>
      <c r="O18" s="27"/>
      <c r="P18" s="28">
        <v>10</v>
      </c>
      <c r="Q18" s="28">
        <v>17.454285714285717</v>
      </c>
      <c r="R18" s="28">
        <v>26.747619047619054</v>
      </c>
      <c r="S18" s="27">
        <v>102</v>
      </c>
      <c r="T18" s="29">
        <v>244.8</v>
      </c>
      <c r="U18" s="27">
        <v>180</v>
      </c>
      <c r="V18" s="27">
        <v>9</v>
      </c>
      <c r="W18" s="27">
        <v>98</v>
      </c>
      <c r="X18" s="29">
        <v>100</v>
      </c>
      <c r="Y18" s="27" t="s">
        <v>102</v>
      </c>
      <c r="Z18" s="27" t="s">
        <v>316</v>
      </c>
      <c r="AA18" s="29">
        <v>4</v>
      </c>
      <c r="AB18" s="29">
        <v>8</v>
      </c>
      <c r="AC18" s="29" t="s">
        <v>386</v>
      </c>
      <c r="AD18" s="29" t="s">
        <v>386</v>
      </c>
      <c r="AE18" s="29" t="s">
        <v>386</v>
      </c>
      <c r="AF18" s="29" t="s">
        <v>386</v>
      </c>
      <c r="AG18" s="27">
        <v>12</v>
      </c>
      <c r="AH18" s="27">
        <v>0</v>
      </c>
      <c r="AI18" s="27">
        <v>0</v>
      </c>
      <c r="AJ18" s="23" t="s">
        <v>401</v>
      </c>
      <c r="AK18" s="23" t="s">
        <v>419</v>
      </c>
      <c r="AL18" s="30"/>
      <c r="AM18" s="23"/>
      <c r="AN18" s="31" t="s">
        <v>219</v>
      </c>
      <c r="AO18" s="23" t="s">
        <v>314</v>
      </c>
      <c r="AP18" s="23" t="s">
        <v>214</v>
      </c>
      <c r="AQ18" s="34">
        <v>2146.0100000000002</v>
      </c>
      <c r="AR18" s="23" t="s">
        <v>78</v>
      </c>
      <c r="AS18" s="23">
        <v>21</v>
      </c>
      <c r="AT18" s="23">
        <v>46</v>
      </c>
      <c r="AU18" s="23">
        <v>1</v>
      </c>
    </row>
    <row r="19" spans="1:47">
      <c r="A19" s="23" t="s">
        <v>313</v>
      </c>
      <c r="B19" s="23" t="s">
        <v>372</v>
      </c>
      <c r="C19" s="23">
        <v>3</v>
      </c>
      <c r="D19" s="23"/>
      <c r="E19" s="23" t="s">
        <v>60</v>
      </c>
      <c r="F19" s="23" t="s">
        <v>406</v>
      </c>
      <c r="G19" s="27">
        <v>1971</v>
      </c>
      <c r="H19" s="27">
        <v>20</v>
      </c>
      <c r="I19" s="27">
        <v>25</v>
      </c>
      <c r="J19" s="27">
        <v>20</v>
      </c>
      <c r="K19" s="27">
        <v>10</v>
      </c>
      <c r="L19" s="27">
        <v>10</v>
      </c>
      <c r="M19" s="27">
        <v>10</v>
      </c>
      <c r="N19" s="27"/>
      <c r="O19" s="27"/>
      <c r="P19" s="28">
        <v>30</v>
      </c>
      <c r="Q19" s="28">
        <v>16.230857142857143</v>
      </c>
      <c r="R19" s="28">
        <v>22.872190476190479</v>
      </c>
      <c r="S19" s="27">
        <v>70</v>
      </c>
      <c r="T19" s="29">
        <v>191.76000000000002</v>
      </c>
      <c r="U19" s="27">
        <v>141</v>
      </c>
      <c r="V19" s="27">
        <v>9</v>
      </c>
      <c r="W19" s="27">
        <v>98</v>
      </c>
      <c r="X19" s="29">
        <v>200</v>
      </c>
      <c r="Y19" s="27" t="s">
        <v>69</v>
      </c>
      <c r="Z19" s="27" t="s">
        <v>315</v>
      </c>
      <c r="AA19" s="29">
        <v>4</v>
      </c>
      <c r="AB19" s="29">
        <v>8</v>
      </c>
      <c r="AC19" s="29" t="s">
        <v>386</v>
      </c>
      <c r="AD19" s="29" t="s">
        <v>386</v>
      </c>
      <c r="AE19" s="29" t="s">
        <v>386</v>
      </c>
      <c r="AF19" s="29" t="s">
        <v>386</v>
      </c>
      <c r="AG19" s="27">
        <v>12</v>
      </c>
      <c r="AH19" s="27">
        <v>0</v>
      </c>
      <c r="AI19" s="27">
        <v>0</v>
      </c>
      <c r="AJ19" s="23" t="s">
        <v>401</v>
      </c>
      <c r="AK19" s="23" t="s">
        <v>402</v>
      </c>
      <c r="AL19" s="30"/>
      <c r="AM19" s="23"/>
      <c r="AN19" s="31" t="s">
        <v>220</v>
      </c>
      <c r="AO19" s="23" t="s">
        <v>314</v>
      </c>
      <c r="AP19" s="23" t="s">
        <v>71</v>
      </c>
      <c r="AQ19" s="34">
        <v>2150</v>
      </c>
      <c r="AR19" s="23" t="s">
        <v>78</v>
      </c>
      <c r="AS19" s="23">
        <v>21</v>
      </c>
      <c r="AT19" s="23">
        <v>50</v>
      </c>
      <c r="AU19" s="23">
        <v>0</v>
      </c>
    </row>
    <row r="20" spans="1:47">
      <c r="A20" s="23" t="s">
        <v>313</v>
      </c>
      <c r="B20" s="23" t="s">
        <v>372</v>
      </c>
      <c r="C20" s="23">
        <v>3</v>
      </c>
      <c r="D20" s="23"/>
      <c r="E20" s="23" t="s">
        <v>60</v>
      </c>
      <c r="F20" s="23" t="s">
        <v>406</v>
      </c>
      <c r="G20" s="27">
        <v>1971</v>
      </c>
      <c r="H20" s="27">
        <v>20</v>
      </c>
      <c r="I20" s="27">
        <v>25</v>
      </c>
      <c r="J20" s="27">
        <v>20</v>
      </c>
      <c r="K20" s="27">
        <v>10</v>
      </c>
      <c r="L20" s="27">
        <v>10</v>
      </c>
      <c r="M20" s="27">
        <v>10</v>
      </c>
      <c r="N20" s="27"/>
      <c r="O20" s="27"/>
      <c r="P20" s="28">
        <v>30</v>
      </c>
      <c r="Q20" s="28">
        <v>16.230857142857143</v>
      </c>
      <c r="R20" s="28">
        <v>22.872190476190479</v>
      </c>
      <c r="S20" s="27">
        <v>70</v>
      </c>
      <c r="T20" s="29">
        <v>191.76000000000002</v>
      </c>
      <c r="U20" s="27">
        <v>141</v>
      </c>
      <c r="V20" s="27">
        <v>9</v>
      </c>
      <c r="W20" s="27">
        <v>98</v>
      </c>
      <c r="X20" s="29">
        <v>200</v>
      </c>
      <c r="Y20" s="27" t="s">
        <v>102</v>
      </c>
      <c r="Z20" s="27" t="s">
        <v>316</v>
      </c>
      <c r="AA20" s="29">
        <v>4</v>
      </c>
      <c r="AB20" s="29">
        <v>8</v>
      </c>
      <c r="AC20" s="29" t="s">
        <v>386</v>
      </c>
      <c r="AD20" s="29" t="s">
        <v>386</v>
      </c>
      <c r="AE20" s="29" t="s">
        <v>386</v>
      </c>
      <c r="AF20" s="29" t="s">
        <v>386</v>
      </c>
      <c r="AG20" s="27">
        <v>12</v>
      </c>
      <c r="AH20" s="27">
        <v>0</v>
      </c>
      <c r="AI20" s="27">
        <v>0</v>
      </c>
      <c r="AJ20" s="23" t="s">
        <v>401</v>
      </c>
      <c r="AK20" s="23" t="s">
        <v>402</v>
      </c>
      <c r="AL20" s="30"/>
      <c r="AM20" s="23"/>
      <c r="AN20" s="31" t="s">
        <v>220</v>
      </c>
      <c r="AO20" s="23" t="s">
        <v>314</v>
      </c>
      <c r="AP20" s="23" t="s">
        <v>71</v>
      </c>
      <c r="AQ20" s="34">
        <v>2150.0100000000002</v>
      </c>
      <c r="AR20" s="23" t="s">
        <v>78</v>
      </c>
      <c r="AS20" s="23">
        <v>21</v>
      </c>
      <c r="AT20" s="23">
        <v>50</v>
      </c>
      <c r="AU20" s="23">
        <v>1</v>
      </c>
    </row>
    <row r="21" spans="1:47">
      <c r="A21" s="23" t="s">
        <v>313</v>
      </c>
      <c r="B21" s="23" t="s">
        <v>372</v>
      </c>
      <c r="C21" s="23">
        <v>3</v>
      </c>
      <c r="D21" s="23"/>
      <c r="E21" s="23" t="s">
        <v>60</v>
      </c>
      <c r="F21" s="23" t="s">
        <v>406</v>
      </c>
      <c r="G21" s="27">
        <v>1971</v>
      </c>
      <c r="H21" s="27">
        <v>20</v>
      </c>
      <c r="I21" s="27">
        <v>25</v>
      </c>
      <c r="J21" s="27">
        <v>20</v>
      </c>
      <c r="K21" s="27">
        <v>10</v>
      </c>
      <c r="L21" s="27">
        <v>10</v>
      </c>
      <c r="M21" s="27">
        <v>10</v>
      </c>
      <c r="N21" s="27"/>
      <c r="O21" s="27"/>
      <c r="P21" s="28">
        <v>30</v>
      </c>
      <c r="Q21" s="28">
        <v>16.230857142857143</v>
      </c>
      <c r="R21" s="28">
        <v>22.872190476190479</v>
      </c>
      <c r="S21" s="27">
        <v>70</v>
      </c>
      <c r="T21" s="29">
        <v>191.76000000000002</v>
      </c>
      <c r="U21" s="27">
        <v>141</v>
      </c>
      <c r="V21" s="27">
        <v>9</v>
      </c>
      <c r="W21" s="27">
        <v>98</v>
      </c>
      <c r="X21" s="29">
        <v>200</v>
      </c>
      <c r="Y21" s="27" t="s">
        <v>287</v>
      </c>
      <c r="Z21" s="27" t="s">
        <v>287</v>
      </c>
      <c r="AA21" s="29">
        <v>4</v>
      </c>
      <c r="AB21" s="29">
        <v>8</v>
      </c>
      <c r="AC21" s="29" t="s">
        <v>386</v>
      </c>
      <c r="AD21" s="29" t="s">
        <v>386</v>
      </c>
      <c r="AE21" s="29" t="s">
        <v>386</v>
      </c>
      <c r="AF21" s="29" t="s">
        <v>386</v>
      </c>
      <c r="AG21" s="27">
        <v>12</v>
      </c>
      <c r="AH21" s="27">
        <v>0</v>
      </c>
      <c r="AI21" s="27">
        <v>0</v>
      </c>
      <c r="AJ21" s="23" t="s">
        <v>401</v>
      </c>
      <c r="AK21" s="23" t="s">
        <v>402</v>
      </c>
      <c r="AL21" s="30"/>
      <c r="AM21" s="23"/>
      <c r="AN21" s="31" t="s">
        <v>220</v>
      </c>
      <c r="AO21" s="23" t="s">
        <v>314</v>
      </c>
      <c r="AP21" s="23" t="s">
        <v>71</v>
      </c>
      <c r="AQ21" s="34">
        <v>2150.02</v>
      </c>
      <c r="AR21" s="23" t="s">
        <v>191</v>
      </c>
      <c r="AS21" s="23">
        <v>21</v>
      </c>
      <c r="AT21" s="23">
        <v>50</v>
      </c>
      <c r="AU21" s="23">
        <v>2</v>
      </c>
    </row>
    <row r="22" spans="1:47">
      <c r="A22" s="23" t="s">
        <v>387</v>
      </c>
      <c r="B22" s="23" t="s">
        <v>405</v>
      </c>
      <c r="C22" s="23">
        <v>3</v>
      </c>
      <c r="D22" s="23"/>
      <c r="E22" s="23" t="s">
        <v>60</v>
      </c>
      <c r="F22" s="23" t="s">
        <v>408</v>
      </c>
      <c r="G22" s="27">
        <v>1996</v>
      </c>
      <c r="H22" s="27">
        <v>20</v>
      </c>
      <c r="I22" s="27">
        <v>25</v>
      </c>
      <c r="J22" s="27">
        <v>20</v>
      </c>
      <c r="K22" s="27">
        <v>10</v>
      </c>
      <c r="L22" s="27">
        <v>10</v>
      </c>
      <c r="M22" s="27"/>
      <c r="N22" s="27"/>
      <c r="O22" s="27"/>
      <c r="P22" s="28">
        <v>20</v>
      </c>
      <c r="Q22" s="28">
        <v>16.944571428571429</v>
      </c>
      <c r="R22" s="28">
        <v>25.013904761904762</v>
      </c>
      <c r="S22" s="27">
        <v>70</v>
      </c>
      <c r="T22" s="29">
        <v>220.32000000000002</v>
      </c>
      <c r="U22" s="27">
        <v>162</v>
      </c>
      <c r="V22" s="27">
        <v>9</v>
      </c>
      <c r="W22" s="27">
        <v>98</v>
      </c>
      <c r="X22" s="29">
        <v>200</v>
      </c>
      <c r="Y22" s="27" t="s">
        <v>69</v>
      </c>
      <c r="Z22" s="27" t="s">
        <v>315</v>
      </c>
      <c r="AA22" s="29">
        <v>4</v>
      </c>
      <c r="AB22" s="29">
        <v>8</v>
      </c>
      <c r="AC22" s="29" t="s">
        <v>386</v>
      </c>
      <c r="AD22" s="29" t="s">
        <v>386</v>
      </c>
      <c r="AE22" s="29" t="s">
        <v>386</v>
      </c>
      <c r="AF22" s="29" t="s">
        <v>386</v>
      </c>
      <c r="AG22" s="27">
        <v>12</v>
      </c>
      <c r="AH22" s="27">
        <v>0</v>
      </c>
      <c r="AI22" s="27">
        <v>0</v>
      </c>
      <c r="AJ22" s="23" t="s">
        <v>401</v>
      </c>
      <c r="AK22" s="23" t="s">
        <v>402</v>
      </c>
      <c r="AL22" s="30"/>
      <c r="AM22" s="23"/>
      <c r="AN22" s="31" t="s">
        <v>219</v>
      </c>
      <c r="AO22" s="23" t="s">
        <v>314</v>
      </c>
      <c r="AP22" s="23" t="s">
        <v>72</v>
      </c>
      <c r="AQ22" s="34">
        <v>2151</v>
      </c>
      <c r="AR22" s="23" t="s">
        <v>78</v>
      </c>
      <c r="AS22" s="23">
        <v>21</v>
      </c>
      <c r="AT22" s="23">
        <v>51</v>
      </c>
      <c r="AU22" s="23">
        <v>0</v>
      </c>
    </row>
    <row r="23" spans="1:47">
      <c r="A23" s="23" t="s">
        <v>387</v>
      </c>
      <c r="B23" s="23" t="s">
        <v>405</v>
      </c>
      <c r="C23" s="23">
        <v>3</v>
      </c>
      <c r="D23" s="23"/>
      <c r="E23" s="23" t="s">
        <v>60</v>
      </c>
      <c r="F23" s="23" t="s">
        <v>408</v>
      </c>
      <c r="G23" s="27">
        <v>1996</v>
      </c>
      <c r="H23" s="27">
        <v>20</v>
      </c>
      <c r="I23" s="27">
        <v>25</v>
      </c>
      <c r="J23" s="27">
        <v>20</v>
      </c>
      <c r="K23" s="27">
        <v>10</v>
      </c>
      <c r="L23" s="27">
        <v>10</v>
      </c>
      <c r="M23" s="27"/>
      <c r="N23" s="27"/>
      <c r="O23" s="27"/>
      <c r="P23" s="28">
        <v>20</v>
      </c>
      <c r="Q23" s="28">
        <v>16.944571428571429</v>
      </c>
      <c r="R23" s="28">
        <v>25.013904761904762</v>
      </c>
      <c r="S23" s="27">
        <v>70</v>
      </c>
      <c r="T23" s="29">
        <v>220.32000000000002</v>
      </c>
      <c r="U23" s="27">
        <v>162</v>
      </c>
      <c r="V23" s="27">
        <v>9</v>
      </c>
      <c r="W23" s="27">
        <v>98</v>
      </c>
      <c r="X23" s="29">
        <v>200</v>
      </c>
      <c r="Y23" s="27" t="s">
        <v>102</v>
      </c>
      <c r="Z23" s="27" t="s">
        <v>316</v>
      </c>
      <c r="AA23" s="29">
        <v>4</v>
      </c>
      <c r="AB23" s="29">
        <v>8</v>
      </c>
      <c r="AC23" s="29" t="s">
        <v>386</v>
      </c>
      <c r="AD23" s="29" t="s">
        <v>386</v>
      </c>
      <c r="AE23" s="29" t="s">
        <v>386</v>
      </c>
      <c r="AF23" s="29" t="s">
        <v>386</v>
      </c>
      <c r="AG23" s="27">
        <v>12</v>
      </c>
      <c r="AH23" s="27">
        <v>0</v>
      </c>
      <c r="AI23" s="27">
        <v>0</v>
      </c>
      <c r="AJ23" s="23" t="s">
        <v>401</v>
      </c>
      <c r="AK23" s="23" t="s">
        <v>402</v>
      </c>
      <c r="AL23" s="30"/>
      <c r="AM23" s="23"/>
      <c r="AN23" s="31" t="s">
        <v>219</v>
      </c>
      <c r="AO23" s="23" t="s">
        <v>314</v>
      </c>
      <c r="AP23" s="23" t="s">
        <v>72</v>
      </c>
      <c r="AQ23" s="34">
        <v>2151.0100000000002</v>
      </c>
      <c r="AR23" s="23" t="s">
        <v>78</v>
      </c>
      <c r="AS23" s="23">
        <v>21</v>
      </c>
      <c r="AT23" s="23">
        <v>51</v>
      </c>
      <c r="AU23" s="23">
        <v>1</v>
      </c>
    </row>
    <row r="24" spans="1:47">
      <c r="A24" s="23" t="s">
        <v>387</v>
      </c>
      <c r="B24" s="23" t="s">
        <v>405</v>
      </c>
      <c r="C24" s="23">
        <v>3</v>
      </c>
      <c r="D24" s="23"/>
      <c r="E24" s="23" t="s">
        <v>60</v>
      </c>
      <c r="F24" s="23" t="s">
        <v>408</v>
      </c>
      <c r="G24" s="27">
        <v>1996</v>
      </c>
      <c r="H24" s="27">
        <v>20</v>
      </c>
      <c r="I24" s="27">
        <v>25</v>
      </c>
      <c r="J24" s="27">
        <v>20</v>
      </c>
      <c r="K24" s="27">
        <v>10</v>
      </c>
      <c r="L24" s="27">
        <v>10</v>
      </c>
      <c r="M24" s="27"/>
      <c r="N24" s="27"/>
      <c r="O24" s="27"/>
      <c r="P24" s="28">
        <v>20</v>
      </c>
      <c r="Q24" s="28">
        <v>16.944571428571429</v>
      </c>
      <c r="R24" s="28">
        <v>25.013904761904762</v>
      </c>
      <c r="S24" s="27">
        <v>70</v>
      </c>
      <c r="T24" s="29">
        <v>220.32000000000002</v>
      </c>
      <c r="U24" s="27">
        <v>162</v>
      </c>
      <c r="V24" s="27">
        <v>9</v>
      </c>
      <c r="W24" s="27">
        <v>98</v>
      </c>
      <c r="X24" s="29">
        <v>200</v>
      </c>
      <c r="Y24" s="27" t="s">
        <v>388</v>
      </c>
      <c r="Z24" s="27" t="s">
        <v>389</v>
      </c>
      <c r="AA24" s="29">
        <v>4</v>
      </c>
      <c r="AB24" s="29">
        <v>8</v>
      </c>
      <c r="AC24" s="29" t="s">
        <v>386</v>
      </c>
      <c r="AD24" s="29" t="s">
        <v>386</v>
      </c>
      <c r="AE24" s="29" t="s">
        <v>386</v>
      </c>
      <c r="AF24" s="29" t="s">
        <v>386</v>
      </c>
      <c r="AG24" s="27">
        <v>12</v>
      </c>
      <c r="AH24" s="27">
        <v>0</v>
      </c>
      <c r="AI24" s="27">
        <v>0</v>
      </c>
      <c r="AJ24" s="23" t="s">
        <v>401</v>
      </c>
      <c r="AK24" s="23" t="s">
        <v>402</v>
      </c>
      <c r="AL24" s="30"/>
      <c r="AM24" s="23"/>
      <c r="AN24" s="31" t="s">
        <v>219</v>
      </c>
      <c r="AO24" s="23" t="s">
        <v>314</v>
      </c>
      <c r="AP24" s="23" t="s">
        <v>72</v>
      </c>
      <c r="AQ24" s="34">
        <v>2151.02</v>
      </c>
      <c r="AR24" s="23" t="s">
        <v>191</v>
      </c>
      <c r="AS24" s="23">
        <v>21</v>
      </c>
      <c r="AT24" s="23">
        <v>51</v>
      </c>
      <c r="AU24" s="23">
        <v>2</v>
      </c>
    </row>
    <row r="25" spans="1:47">
      <c r="A25" s="23" t="s">
        <v>387</v>
      </c>
      <c r="B25" s="23" t="s">
        <v>405</v>
      </c>
      <c r="C25" s="23">
        <v>3</v>
      </c>
      <c r="D25" s="23"/>
      <c r="E25" s="23" t="s">
        <v>60</v>
      </c>
      <c r="F25" s="23" t="s">
        <v>408</v>
      </c>
      <c r="G25" s="27">
        <v>1996</v>
      </c>
      <c r="H25" s="27">
        <v>20</v>
      </c>
      <c r="I25" s="27">
        <v>25</v>
      </c>
      <c r="J25" s="27">
        <v>20</v>
      </c>
      <c r="K25" s="27">
        <v>10</v>
      </c>
      <c r="L25" s="27">
        <v>10</v>
      </c>
      <c r="M25" s="27"/>
      <c r="N25" s="27"/>
      <c r="O25" s="27"/>
      <c r="P25" s="28">
        <v>20</v>
      </c>
      <c r="Q25" s="28">
        <v>16.944571428571429</v>
      </c>
      <c r="R25" s="28">
        <v>25.013904761904762</v>
      </c>
      <c r="S25" s="27">
        <v>70</v>
      </c>
      <c r="T25" s="29">
        <v>220.32000000000002</v>
      </c>
      <c r="U25" s="27">
        <v>162</v>
      </c>
      <c r="V25" s="27">
        <v>9</v>
      </c>
      <c r="W25" s="27">
        <v>98</v>
      </c>
      <c r="X25" s="29">
        <v>200</v>
      </c>
      <c r="Y25" s="27" t="s">
        <v>192</v>
      </c>
      <c r="Z25" s="27" t="s">
        <v>390</v>
      </c>
      <c r="AA25" s="29">
        <v>4</v>
      </c>
      <c r="AB25" s="29">
        <v>8</v>
      </c>
      <c r="AC25" s="29" t="s">
        <v>386</v>
      </c>
      <c r="AD25" s="29" t="s">
        <v>386</v>
      </c>
      <c r="AE25" s="29" t="s">
        <v>386</v>
      </c>
      <c r="AF25" s="29" t="s">
        <v>386</v>
      </c>
      <c r="AG25" s="27">
        <v>12</v>
      </c>
      <c r="AH25" s="27">
        <v>0</v>
      </c>
      <c r="AI25" s="27">
        <v>0</v>
      </c>
      <c r="AJ25" s="23" t="s">
        <v>401</v>
      </c>
      <c r="AK25" s="23" t="s">
        <v>402</v>
      </c>
      <c r="AL25" s="30"/>
      <c r="AM25" s="23"/>
      <c r="AN25" s="31" t="s">
        <v>219</v>
      </c>
      <c r="AO25" s="23" t="s">
        <v>314</v>
      </c>
      <c r="AP25" s="23" t="s">
        <v>72</v>
      </c>
      <c r="AQ25" s="34">
        <v>2151.0300000000002</v>
      </c>
      <c r="AR25" s="23" t="s">
        <v>191</v>
      </c>
      <c r="AS25" s="23">
        <v>21</v>
      </c>
      <c r="AT25" s="23">
        <v>51</v>
      </c>
      <c r="AU25" s="23">
        <v>3</v>
      </c>
    </row>
    <row r="26" spans="1:47">
      <c r="A26" s="23" t="s">
        <v>391</v>
      </c>
      <c r="B26" s="23" t="s">
        <v>404</v>
      </c>
      <c r="C26" s="23">
        <v>3</v>
      </c>
      <c r="D26" s="23"/>
      <c r="E26" s="23" t="s">
        <v>60</v>
      </c>
      <c r="F26" s="23" t="s">
        <v>409</v>
      </c>
      <c r="G26" s="27">
        <v>1989</v>
      </c>
      <c r="H26" s="27">
        <v>20</v>
      </c>
      <c r="I26" s="27">
        <v>25</v>
      </c>
      <c r="J26" s="27">
        <v>20</v>
      </c>
      <c r="K26" s="27">
        <v>10</v>
      </c>
      <c r="L26" s="27">
        <v>10</v>
      </c>
      <c r="M26" s="27"/>
      <c r="N26" s="27"/>
      <c r="O26" s="27"/>
      <c r="P26" s="28">
        <v>20</v>
      </c>
      <c r="Q26" s="28">
        <v>16.944571428571429</v>
      </c>
      <c r="R26" s="28">
        <v>25.013904761904762</v>
      </c>
      <c r="S26" s="27">
        <v>90</v>
      </c>
      <c r="T26" s="29">
        <v>220.32000000000002</v>
      </c>
      <c r="U26" s="27">
        <v>162</v>
      </c>
      <c r="V26" s="27">
        <v>9</v>
      </c>
      <c r="W26" s="27">
        <v>98</v>
      </c>
      <c r="X26" s="29">
        <v>185</v>
      </c>
      <c r="Y26" s="27" t="s">
        <v>69</v>
      </c>
      <c r="Z26" s="27" t="s">
        <v>315</v>
      </c>
      <c r="AA26" s="29">
        <v>4</v>
      </c>
      <c r="AB26" s="29">
        <v>8</v>
      </c>
      <c r="AC26" s="29" t="s">
        <v>386</v>
      </c>
      <c r="AD26" s="29" t="s">
        <v>386</v>
      </c>
      <c r="AE26" s="29" t="s">
        <v>386</v>
      </c>
      <c r="AF26" s="29" t="s">
        <v>386</v>
      </c>
      <c r="AG26" s="27">
        <v>12</v>
      </c>
      <c r="AH26" s="27">
        <v>0</v>
      </c>
      <c r="AI26" s="27">
        <v>0</v>
      </c>
      <c r="AJ26" s="23" t="s">
        <v>401</v>
      </c>
      <c r="AK26" s="23" t="s">
        <v>402</v>
      </c>
      <c r="AL26" s="30"/>
      <c r="AM26" s="23"/>
      <c r="AN26" s="31" t="s">
        <v>219</v>
      </c>
      <c r="AO26" s="23" t="s">
        <v>314</v>
      </c>
      <c r="AP26" s="23" t="s">
        <v>89</v>
      </c>
      <c r="AQ26" s="34">
        <v>2152</v>
      </c>
      <c r="AR26" s="23" t="s">
        <v>78</v>
      </c>
      <c r="AS26" s="23">
        <v>21</v>
      </c>
      <c r="AT26" s="23">
        <v>52</v>
      </c>
      <c r="AU26" s="23">
        <v>0</v>
      </c>
    </row>
    <row r="27" spans="1:47">
      <c r="A27" s="23" t="s">
        <v>391</v>
      </c>
      <c r="B27" s="23" t="s">
        <v>404</v>
      </c>
      <c r="C27" s="23">
        <v>3</v>
      </c>
      <c r="D27" s="23"/>
      <c r="E27" s="23" t="s">
        <v>60</v>
      </c>
      <c r="F27" s="23" t="s">
        <v>409</v>
      </c>
      <c r="G27" s="27">
        <v>1989</v>
      </c>
      <c r="H27" s="27">
        <v>20</v>
      </c>
      <c r="I27" s="27">
        <v>25</v>
      </c>
      <c r="J27" s="27">
        <v>20</v>
      </c>
      <c r="K27" s="27">
        <v>10</v>
      </c>
      <c r="L27" s="27">
        <v>10</v>
      </c>
      <c r="M27" s="27"/>
      <c r="N27" s="27"/>
      <c r="O27" s="27"/>
      <c r="P27" s="28">
        <v>20</v>
      </c>
      <c r="Q27" s="28">
        <v>16.944571428571429</v>
      </c>
      <c r="R27" s="28">
        <v>25.013904761904762</v>
      </c>
      <c r="S27" s="27">
        <v>90</v>
      </c>
      <c r="T27" s="29">
        <v>220.32000000000002</v>
      </c>
      <c r="U27" s="27">
        <v>162</v>
      </c>
      <c r="V27" s="27">
        <v>9</v>
      </c>
      <c r="W27" s="27">
        <v>98</v>
      </c>
      <c r="X27" s="29">
        <v>185</v>
      </c>
      <c r="Y27" s="27" t="s">
        <v>102</v>
      </c>
      <c r="Z27" s="27" t="s">
        <v>316</v>
      </c>
      <c r="AA27" s="29">
        <v>4</v>
      </c>
      <c r="AB27" s="29">
        <v>8</v>
      </c>
      <c r="AC27" s="29" t="s">
        <v>386</v>
      </c>
      <c r="AD27" s="29" t="s">
        <v>386</v>
      </c>
      <c r="AE27" s="29" t="s">
        <v>386</v>
      </c>
      <c r="AF27" s="29" t="s">
        <v>386</v>
      </c>
      <c r="AG27" s="27">
        <v>12</v>
      </c>
      <c r="AH27" s="27">
        <v>0</v>
      </c>
      <c r="AI27" s="27">
        <v>0</v>
      </c>
      <c r="AJ27" s="23" t="s">
        <v>401</v>
      </c>
      <c r="AK27" s="23" t="s">
        <v>402</v>
      </c>
      <c r="AL27" s="30"/>
      <c r="AM27" s="23"/>
      <c r="AN27" s="31" t="s">
        <v>219</v>
      </c>
      <c r="AO27" s="23" t="s">
        <v>314</v>
      </c>
      <c r="AP27" s="23" t="s">
        <v>89</v>
      </c>
      <c r="AQ27" s="34">
        <v>2152.0100000000002</v>
      </c>
      <c r="AR27" s="23" t="s">
        <v>78</v>
      </c>
      <c r="AS27" s="23">
        <v>21</v>
      </c>
      <c r="AT27" s="23">
        <v>52</v>
      </c>
      <c r="AU27" s="23">
        <v>1</v>
      </c>
    </row>
    <row r="28" spans="1:47">
      <c r="A28" s="23" t="s">
        <v>317</v>
      </c>
      <c r="B28" s="23" t="s">
        <v>372</v>
      </c>
      <c r="C28" s="23">
        <v>3</v>
      </c>
      <c r="D28" s="23"/>
      <c r="E28" s="23" t="s">
        <v>60</v>
      </c>
      <c r="F28" s="23" t="s">
        <v>410</v>
      </c>
      <c r="G28" s="27">
        <v>1985</v>
      </c>
      <c r="H28" s="27">
        <v>20</v>
      </c>
      <c r="I28" s="27">
        <v>25</v>
      </c>
      <c r="J28" s="27">
        <v>20</v>
      </c>
      <c r="K28" s="27">
        <v>10</v>
      </c>
      <c r="L28" s="27">
        <v>10</v>
      </c>
      <c r="M28" s="27">
        <v>10</v>
      </c>
      <c r="N28" s="27"/>
      <c r="O28" s="27"/>
      <c r="P28" s="28">
        <v>30</v>
      </c>
      <c r="Q28" s="28">
        <v>17.658857142857144</v>
      </c>
      <c r="R28" s="28">
        <v>25.728190476190477</v>
      </c>
      <c r="S28" s="27">
        <v>70</v>
      </c>
      <c r="T28" s="29">
        <v>220.32000000000002</v>
      </c>
      <c r="U28" s="27">
        <v>162</v>
      </c>
      <c r="V28" s="27">
        <v>9</v>
      </c>
      <c r="W28" s="27">
        <v>98</v>
      </c>
      <c r="X28" s="29">
        <v>200</v>
      </c>
      <c r="Y28" s="27" t="s">
        <v>69</v>
      </c>
      <c r="Z28" s="27" t="s">
        <v>315</v>
      </c>
      <c r="AA28" s="29">
        <v>4</v>
      </c>
      <c r="AB28" s="29">
        <v>8</v>
      </c>
      <c r="AC28" s="29" t="s">
        <v>386</v>
      </c>
      <c r="AD28" s="29" t="s">
        <v>386</v>
      </c>
      <c r="AE28" s="29" t="s">
        <v>386</v>
      </c>
      <c r="AF28" s="29" t="s">
        <v>386</v>
      </c>
      <c r="AG28" s="27">
        <v>12</v>
      </c>
      <c r="AH28" s="27">
        <v>0</v>
      </c>
      <c r="AI28" s="27">
        <v>0</v>
      </c>
      <c r="AJ28" s="23" t="s">
        <v>401</v>
      </c>
      <c r="AK28" s="23" t="s">
        <v>402</v>
      </c>
      <c r="AL28" s="30"/>
      <c r="AM28" s="23"/>
      <c r="AN28" s="31" t="s">
        <v>220</v>
      </c>
      <c r="AO28" s="23" t="s">
        <v>314</v>
      </c>
      <c r="AP28" s="23" t="s">
        <v>71</v>
      </c>
      <c r="AQ28" s="34">
        <v>2155</v>
      </c>
      <c r="AR28" s="23" t="s">
        <v>78</v>
      </c>
      <c r="AS28" s="23">
        <v>21</v>
      </c>
      <c r="AT28" s="23">
        <v>55</v>
      </c>
      <c r="AU28" s="23">
        <v>0</v>
      </c>
    </row>
    <row r="29" spans="1:47">
      <c r="A29" s="23" t="s">
        <v>317</v>
      </c>
      <c r="B29" s="23" t="s">
        <v>372</v>
      </c>
      <c r="C29" s="23">
        <v>3</v>
      </c>
      <c r="D29" s="23"/>
      <c r="E29" s="23" t="s">
        <v>60</v>
      </c>
      <c r="F29" s="23" t="s">
        <v>410</v>
      </c>
      <c r="G29" s="27">
        <v>1985</v>
      </c>
      <c r="H29" s="27">
        <v>20</v>
      </c>
      <c r="I29" s="27">
        <v>25</v>
      </c>
      <c r="J29" s="27">
        <v>20</v>
      </c>
      <c r="K29" s="27">
        <v>10</v>
      </c>
      <c r="L29" s="27">
        <v>10</v>
      </c>
      <c r="M29" s="27">
        <v>10</v>
      </c>
      <c r="N29" s="27"/>
      <c r="O29" s="27"/>
      <c r="P29" s="28">
        <v>30</v>
      </c>
      <c r="Q29" s="28">
        <v>17.658857142857144</v>
      </c>
      <c r="R29" s="28">
        <v>25.728190476190477</v>
      </c>
      <c r="S29" s="27">
        <v>70</v>
      </c>
      <c r="T29" s="29">
        <v>220.32000000000002</v>
      </c>
      <c r="U29" s="27">
        <v>162</v>
      </c>
      <c r="V29" s="27">
        <v>9</v>
      </c>
      <c r="W29" s="27">
        <v>98</v>
      </c>
      <c r="X29" s="29">
        <v>200</v>
      </c>
      <c r="Y29" s="27" t="s">
        <v>102</v>
      </c>
      <c r="Z29" s="27" t="s">
        <v>316</v>
      </c>
      <c r="AA29" s="29">
        <v>4</v>
      </c>
      <c r="AB29" s="29">
        <v>8</v>
      </c>
      <c r="AC29" s="29" t="s">
        <v>386</v>
      </c>
      <c r="AD29" s="29" t="s">
        <v>386</v>
      </c>
      <c r="AE29" s="29" t="s">
        <v>386</v>
      </c>
      <c r="AF29" s="29" t="s">
        <v>386</v>
      </c>
      <c r="AG29" s="27">
        <v>12</v>
      </c>
      <c r="AH29" s="27">
        <v>0</v>
      </c>
      <c r="AI29" s="27">
        <v>0</v>
      </c>
      <c r="AJ29" s="23" t="s">
        <v>401</v>
      </c>
      <c r="AK29" s="23" t="s">
        <v>402</v>
      </c>
      <c r="AL29" s="30"/>
      <c r="AM29" s="23"/>
      <c r="AN29" s="31" t="s">
        <v>220</v>
      </c>
      <c r="AO29" s="23" t="s">
        <v>314</v>
      </c>
      <c r="AP29" s="23" t="s">
        <v>71</v>
      </c>
      <c r="AQ29" s="34">
        <v>2155.0100000000002</v>
      </c>
      <c r="AR29" s="23" t="s">
        <v>78</v>
      </c>
      <c r="AS29" s="23">
        <v>21</v>
      </c>
      <c r="AT29" s="23">
        <v>55</v>
      </c>
      <c r="AU29" s="23">
        <v>1</v>
      </c>
    </row>
    <row r="30" spans="1:47">
      <c r="A30" s="23" t="s">
        <v>317</v>
      </c>
      <c r="B30" s="23" t="s">
        <v>372</v>
      </c>
      <c r="C30" s="23">
        <v>3</v>
      </c>
      <c r="D30" s="23"/>
      <c r="E30" s="23" t="s">
        <v>60</v>
      </c>
      <c r="F30" s="23" t="s">
        <v>410</v>
      </c>
      <c r="G30" s="27">
        <v>1985</v>
      </c>
      <c r="H30" s="27">
        <v>20</v>
      </c>
      <c r="I30" s="27">
        <v>25</v>
      </c>
      <c r="J30" s="27">
        <v>20</v>
      </c>
      <c r="K30" s="27">
        <v>10</v>
      </c>
      <c r="L30" s="27">
        <v>10</v>
      </c>
      <c r="M30" s="27">
        <v>10</v>
      </c>
      <c r="N30" s="27"/>
      <c r="O30" s="27"/>
      <c r="P30" s="28">
        <v>30</v>
      </c>
      <c r="Q30" s="28">
        <v>17.658857142857144</v>
      </c>
      <c r="R30" s="28">
        <v>25.728190476190477</v>
      </c>
      <c r="S30" s="27">
        <v>70</v>
      </c>
      <c r="T30" s="29">
        <v>220.32000000000002</v>
      </c>
      <c r="U30" s="27">
        <v>162</v>
      </c>
      <c r="V30" s="27">
        <v>9</v>
      </c>
      <c r="W30" s="27">
        <v>98</v>
      </c>
      <c r="X30" s="29">
        <v>200</v>
      </c>
      <c r="Y30" s="27" t="s">
        <v>287</v>
      </c>
      <c r="Z30" s="27" t="s">
        <v>287</v>
      </c>
      <c r="AA30" s="29">
        <v>4</v>
      </c>
      <c r="AB30" s="29">
        <v>8</v>
      </c>
      <c r="AC30" s="29" t="s">
        <v>386</v>
      </c>
      <c r="AD30" s="29" t="s">
        <v>386</v>
      </c>
      <c r="AE30" s="29" t="s">
        <v>386</v>
      </c>
      <c r="AF30" s="29" t="s">
        <v>386</v>
      </c>
      <c r="AG30" s="27">
        <v>12</v>
      </c>
      <c r="AH30" s="27">
        <v>0</v>
      </c>
      <c r="AI30" s="27">
        <v>0</v>
      </c>
      <c r="AJ30" s="23" t="s">
        <v>401</v>
      </c>
      <c r="AK30" s="23" t="s">
        <v>402</v>
      </c>
      <c r="AL30" s="30"/>
      <c r="AM30" s="23"/>
      <c r="AN30" s="31" t="s">
        <v>220</v>
      </c>
      <c r="AO30" s="23" t="s">
        <v>314</v>
      </c>
      <c r="AP30" s="23" t="s">
        <v>71</v>
      </c>
      <c r="AQ30" s="34">
        <v>2155.02</v>
      </c>
      <c r="AR30" s="23" t="s">
        <v>191</v>
      </c>
      <c r="AS30" s="23">
        <v>21</v>
      </c>
      <c r="AT30" s="23">
        <v>55</v>
      </c>
      <c r="AU30" s="23">
        <v>2</v>
      </c>
    </row>
    <row r="31" spans="1:47">
      <c r="A31" s="23" t="s">
        <v>415</v>
      </c>
      <c r="B31" s="23" t="s">
        <v>372</v>
      </c>
      <c r="C31" s="23">
        <v>3</v>
      </c>
      <c r="D31" s="23"/>
      <c r="E31" s="23" t="s">
        <v>61</v>
      </c>
      <c r="F31" s="23" t="s">
        <v>412</v>
      </c>
      <c r="G31" s="27">
        <v>1999</v>
      </c>
      <c r="H31" s="27">
        <v>20</v>
      </c>
      <c r="I31" s="27">
        <v>25</v>
      </c>
      <c r="J31" s="27">
        <v>20</v>
      </c>
      <c r="K31" s="27">
        <v>10</v>
      </c>
      <c r="L31" s="27">
        <v>10</v>
      </c>
      <c r="M31" s="27">
        <v>10</v>
      </c>
      <c r="N31" s="27"/>
      <c r="O31" s="27"/>
      <c r="P31" s="28">
        <v>30</v>
      </c>
      <c r="Q31" s="28">
        <v>23.046857142857142</v>
      </c>
      <c r="R31" s="28">
        <v>24.041523809523813</v>
      </c>
      <c r="S31" s="27">
        <v>75</v>
      </c>
      <c r="T31" s="29">
        <v>258.40000000000003</v>
      </c>
      <c r="U31" s="27">
        <v>190</v>
      </c>
      <c r="V31" s="27">
        <v>9</v>
      </c>
      <c r="W31" s="27">
        <v>95</v>
      </c>
      <c r="X31" s="29">
        <v>200</v>
      </c>
      <c r="Y31" s="27" t="s">
        <v>69</v>
      </c>
      <c r="Z31" s="27" t="s">
        <v>315</v>
      </c>
      <c r="AA31" s="29">
        <v>4</v>
      </c>
      <c r="AB31" s="29">
        <v>8</v>
      </c>
      <c r="AC31" s="29" t="s">
        <v>386</v>
      </c>
      <c r="AD31" s="29" t="s">
        <v>386</v>
      </c>
      <c r="AE31" s="29" t="s">
        <v>386</v>
      </c>
      <c r="AF31" s="29" t="s">
        <v>386</v>
      </c>
      <c r="AG31" s="27">
        <v>12</v>
      </c>
      <c r="AH31" s="27">
        <v>0</v>
      </c>
      <c r="AI31" s="27">
        <v>0</v>
      </c>
      <c r="AJ31" s="23" t="s">
        <v>401</v>
      </c>
      <c r="AK31" s="23" t="s">
        <v>402</v>
      </c>
      <c r="AL31" s="30"/>
      <c r="AM31" s="23"/>
      <c r="AN31" s="31" t="s">
        <v>220</v>
      </c>
      <c r="AO31" s="23" t="s">
        <v>314</v>
      </c>
      <c r="AP31" s="23" t="s">
        <v>71</v>
      </c>
      <c r="AQ31" s="34">
        <v>2156</v>
      </c>
      <c r="AR31" s="23" t="s">
        <v>78</v>
      </c>
      <c r="AS31" s="23">
        <v>21</v>
      </c>
      <c r="AT31" s="23">
        <v>56</v>
      </c>
      <c r="AU31" s="23">
        <v>0</v>
      </c>
    </row>
    <row r="32" spans="1:47">
      <c r="A32" s="23" t="s">
        <v>415</v>
      </c>
      <c r="B32" s="23" t="s">
        <v>372</v>
      </c>
      <c r="C32" s="23">
        <v>3</v>
      </c>
      <c r="D32" s="23"/>
      <c r="E32" s="23" t="s">
        <v>61</v>
      </c>
      <c r="F32" s="23" t="s">
        <v>412</v>
      </c>
      <c r="G32" s="27">
        <v>1999</v>
      </c>
      <c r="H32" s="27">
        <v>20</v>
      </c>
      <c r="I32" s="27">
        <v>25</v>
      </c>
      <c r="J32" s="27">
        <v>20</v>
      </c>
      <c r="K32" s="27">
        <v>10</v>
      </c>
      <c r="L32" s="27">
        <v>10</v>
      </c>
      <c r="M32" s="27">
        <v>10</v>
      </c>
      <c r="N32" s="27"/>
      <c r="O32" s="27"/>
      <c r="P32" s="28">
        <v>30</v>
      </c>
      <c r="Q32" s="28">
        <v>23.046857142857142</v>
      </c>
      <c r="R32" s="28">
        <v>24.041523809523813</v>
      </c>
      <c r="S32" s="27">
        <v>75</v>
      </c>
      <c r="T32" s="29">
        <v>258.40000000000003</v>
      </c>
      <c r="U32" s="27">
        <v>190</v>
      </c>
      <c r="V32" s="27">
        <v>9</v>
      </c>
      <c r="W32" s="27">
        <v>95</v>
      </c>
      <c r="X32" s="29">
        <v>200</v>
      </c>
      <c r="Y32" s="27" t="s">
        <v>102</v>
      </c>
      <c r="Z32" s="27" t="s">
        <v>316</v>
      </c>
      <c r="AA32" s="29">
        <v>4</v>
      </c>
      <c r="AB32" s="29">
        <v>8</v>
      </c>
      <c r="AC32" s="29" t="s">
        <v>386</v>
      </c>
      <c r="AD32" s="29" t="s">
        <v>386</v>
      </c>
      <c r="AE32" s="29" t="s">
        <v>386</v>
      </c>
      <c r="AF32" s="29" t="s">
        <v>386</v>
      </c>
      <c r="AG32" s="27">
        <v>12</v>
      </c>
      <c r="AH32" s="27">
        <v>0</v>
      </c>
      <c r="AI32" s="27">
        <v>0</v>
      </c>
      <c r="AJ32" s="23" t="s">
        <v>401</v>
      </c>
      <c r="AK32" s="23" t="s">
        <v>402</v>
      </c>
      <c r="AL32" s="30"/>
      <c r="AM32" s="23"/>
      <c r="AN32" s="31" t="s">
        <v>220</v>
      </c>
      <c r="AO32" s="23" t="s">
        <v>314</v>
      </c>
      <c r="AP32" s="23" t="s">
        <v>71</v>
      </c>
      <c r="AQ32" s="34">
        <v>2156.0100000000002</v>
      </c>
      <c r="AR32" s="23" t="s">
        <v>78</v>
      </c>
      <c r="AS32" s="23">
        <v>21</v>
      </c>
      <c r="AT32" s="23">
        <v>56</v>
      </c>
      <c r="AU32" s="23">
        <v>1</v>
      </c>
    </row>
    <row r="33" spans="1:47">
      <c r="A33" s="23" t="s">
        <v>415</v>
      </c>
      <c r="B33" s="23" t="s">
        <v>372</v>
      </c>
      <c r="C33" s="23">
        <v>3</v>
      </c>
      <c r="D33" s="23"/>
      <c r="E33" s="23" t="s">
        <v>61</v>
      </c>
      <c r="F33" s="23" t="s">
        <v>412</v>
      </c>
      <c r="G33" s="27">
        <v>1999</v>
      </c>
      <c r="H33" s="27">
        <v>20</v>
      </c>
      <c r="I33" s="27">
        <v>25</v>
      </c>
      <c r="J33" s="27">
        <v>20</v>
      </c>
      <c r="K33" s="27">
        <v>10</v>
      </c>
      <c r="L33" s="27">
        <v>10</v>
      </c>
      <c r="M33" s="27">
        <v>10</v>
      </c>
      <c r="N33" s="27"/>
      <c r="O33" s="27"/>
      <c r="P33" s="28">
        <v>30</v>
      </c>
      <c r="Q33" s="28">
        <v>23.046857142857142</v>
      </c>
      <c r="R33" s="28">
        <v>24.041523809523813</v>
      </c>
      <c r="S33" s="27">
        <v>75</v>
      </c>
      <c r="T33" s="29">
        <v>258.40000000000003</v>
      </c>
      <c r="U33" s="27">
        <v>190</v>
      </c>
      <c r="V33" s="27">
        <v>9</v>
      </c>
      <c r="W33" s="27">
        <v>95</v>
      </c>
      <c r="X33" s="29">
        <v>200</v>
      </c>
      <c r="Y33" s="27" t="s">
        <v>392</v>
      </c>
      <c r="Z33" s="27" t="s">
        <v>392</v>
      </c>
      <c r="AA33" s="29">
        <v>4</v>
      </c>
      <c r="AB33" s="29">
        <v>8</v>
      </c>
      <c r="AC33" s="29" t="s">
        <v>386</v>
      </c>
      <c r="AD33" s="29" t="s">
        <v>386</v>
      </c>
      <c r="AE33" s="29" t="s">
        <v>386</v>
      </c>
      <c r="AF33" s="29" t="s">
        <v>386</v>
      </c>
      <c r="AG33" s="27">
        <v>12</v>
      </c>
      <c r="AH33" s="27">
        <v>0</v>
      </c>
      <c r="AI33" s="27">
        <v>0</v>
      </c>
      <c r="AJ33" s="23" t="s">
        <v>401</v>
      </c>
      <c r="AK33" s="23" t="s">
        <v>402</v>
      </c>
      <c r="AL33" s="30"/>
      <c r="AM33" s="23"/>
      <c r="AN33" s="31" t="s">
        <v>220</v>
      </c>
      <c r="AO33" s="23" t="s">
        <v>314</v>
      </c>
      <c r="AP33" s="23" t="s">
        <v>71</v>
      </c>
      <c r="AQ33" s="34">
        <v>2156.02</v>
      </c>
      <c r="AR33" s="23" t="s">
        <v>191</v>
      </c>
      <c r="AS33" s="23">
        <v>21</v>
      </c>
      <c r="AT33" s="23">
        <v>56</v>
      </c>
      <c r="AU33" s="23">
        <v>2</v>
      </c>
    </row>
    <row r="34" spans="1:47">
      <c r="A34" s="23" t="s">
        <v>416</v>
      </c>
      <c r="B34" s="23" t="s">
        <v>372</v>
      </c>
      <c r="C34" s="23">
        <v>3</v>
      </c>
      <c r="D34" s="23"/>
      <c r="E34" s="23" t="s">
        <v>60</v>
      </c>
      <c r="F34" s="23" t="s">
        <v>417</v>
      </c>
      <c r="G34" s="27">
        <v>1990</v>
      </c>
      <c r="H34" s="27">
        <v>20</v>
      </c>
      <c r="I34" s="27">
        <v>25</v>
      </c>
      <c r="J34" s="27">
        <v>20</v>
      </c>
      <c r="K34" s="27">
        <v>10</v>
      </c>
      <c r="L34" s="27">
        <v>10</v>
      </c>
      <c r="M34" s="27">
        <v>10</v>
      </c>
      <c r="N34" s="27"/>
      <c r="O34" s="27"/>
      <c r="P34" s="28">
        <v>30</v>
      </c>
      <c r="Q34" s="28">
        <v>17.522857142857145</v>
      </c>
      <c r="R34" s="28">
        <v>25.502857142857145</v>
      </c>
      <c r="S34" s="27">
        <v>70</v>
      </c>
      <c r="T34" s="29">
        <v>217.60000000000002</v>
      </c>
      <c r="U34" s="27">
        <v>160</v>
      </c>
      <c r="V34" s="27">
        <v>9</v>
      </c>
      <c r="W34" s="27">
        <v>105</v>
      </c>
      <c r="X34" s="29">
        <v>200</v>
      </c>
      <c r="Y34" s="27" t="s">
        <v>69</v>
      </c>
      <c r="Z34" s="27" t="s">
        <v>315</v>
      </c>
      <c r="AA34" s="29">
        <v>4</v>
      </c>
      <c r="AB34" s="29">
        <v>8</v>
      </c>
      <c r="AC34" s="29" t="s">
        <v>386</v>
      </c>
      <c r="AD34" s="29" t="s">
        <v>386</v>
      </c>
      <c r="AE34" s="29" t="s">
        <v>386</v>
      </c>
      <c r="AF34" s="29" t="s">
        <v>386</v>
      </c>
      <c r="AG34" s="27">
        <v>12</v>
      </c>
      <c r="AH34" s="27">
        <v>0</v>
      </c>
      <c r="AI34" s="27">
        <v>0</v>
      </c>
      <c r="AJ34" s="23" t="s">
        <v>401</v>
      </c>
      <c r="AK34" s="23" t="s">
        <v>416</v>
      </c>
      <c r="AL34" s="30"/>
      <c r="AM34" s="23"/>
      <c r="AN34" s="31" t="s">
        <v>220</v>
      </c>
      <c r="AO34" s="23" t="s">
        <v>66</v>
      </c>
      <c r="AP34" s="23" t="s">
        <v>71</v>
      </c>
      <c r="AQ34" s="34">
        <v>2160</v>
      </c>
      <c r="AR34" s="23" t="s">
        <v>78</v>
      </c>
      <c r="AS34" s="23">
        <v>21</v>
      </c>
      <c r="AT34" s="23">
        <v>60</v>
      </c>
      <c r="AU34" s="23">
        <v>0</v>
      </c>
    </row>
    <row r="35" spans="1:47">
      <c r="A35" s="23" t="s">
        <v>416</v>
      </c>
      <c r="B35" s="23" t="s">
        <v>372</v>
      </c>
      <c r="C35" s="23">
        <v>3</v>
      </c>
      <c r="D35" s="23"/>
      <c r="E35" s="23" t="s">
        <v>60</v>
      </c>
      <c r="F35" s="23" t="s">
        <v>417</v>
      </c>
      <c r="G35" s="27">
        <v>1990</v>
      </c>
      <c r="H35" s="27">
        <v>20</v>
      </c>
      <c r="I35" s="27">
        <v>25</v>
      </c>
      <c r="J35" s="27">
        <v>20</v>
      </c>
      <c r="K35" s="27">
        <v>10</v>
      </c>
      <c r="L35" s="27">
        <v>10</v>
      </c>
      <c r="M35" s="27">
        <v>10</v>
      </c>
      <c r="N35" s="27"/>
      <c r="O35" s="27"/>
      <c r="P35" s="28">
        <v>30</v>
      </c>
      <c r="Q35" s="28">
        <v>17.522857142857145</v>
      </c>
      <c r="R35" s="28">
        <v>25.502857142857145</v>
      </c>
      <c r="S35" s="27">
        <v>70</v>
      </c>
      <c r="T35" s="29">
        <v>217.60000000000002</v>
      </c>
      <c r="U35" s="27">
        <v>160</v>
      </c>
      <c r="V35" s="27">
        <v>9</v>
      </c>
      <c r="W35" s="27">
        <v>105</v>
      </c>
      <c r="X35" s="29">
        <v>200</v>
      </c>
      <c r="Y35" s="27" t="s">
        <v>102</v>
      </c>
      <c r="Z35" s="27" t="s">
        <v>316</v>
      </c>
      <c r="AA35" s="29">
        <v>4</v>
      </c>
      <c r="AB35" s="29">
        <v>8</v>
      </c>
      <c r="AC35" s="29" t="s">
        <v>386</v>
      </c>
      <c r="AD35" s="29" t="s">
        <v>386</v>
      </c>
      <c r="AE35" s="29" t="s">
        <v>386</v>
      </c>
      <c r="AF35" s="29" t="s">
        <v>386</v>
      </c>
      <c r="AG35" s="27">
        <v>12</v>
      </c>
      <c r="AH35" s="27">
        <v>0</v>
      </c>
      <c r="AI35" s="27">
        <v>0</v>
      </c>
      <c r="AJ35" s="23" t="s">
        <v>401</v>
      </c>
      <c r="AK35" s="23" t="s">
        <v>416</v>
      </c>
      <c r="AL35" s="30"/>
      <c r="AM35" s="23"/>
      <c r="AN35" s="31" t="s">
        <v>220</v>
      </c>
      <c r="AO35" s="23" t="s">
        <v>66</v>
      </c>
      <c r="AP35" s="23" t="s">
        <v>71</v>
      </c>
      <c r="AQ35" s="34">
        <v>2160.0100000000002</v>
      </c>
      <c r="AR35" s="23" t="s">
        <v>78</v>
      </c>
      <c r="AS35" s="23">
        <v>21</v>
      </c>
      <c r="AT35" s="23">
        <v>60</v>
      </c>
      <c r="AU35" s="23">
        <v>1</v>
      </c>
    </row>
    <row r="36" spans="1:47">
      <c r="A36" s="23" t="s">
        <v>416</v>
      </c>
      <c r="B36" s="23" t="s">
        <v>372</v>
      </c>
      <c r="C36" s="23">
        <v>3</v>
      </c>
      <c r="D36" s="23"/>
      <c r="E36" s="23" t="s">
        <v>60</v>
      </c>
      <c r="F36" s="23" t="s">
        <v>417</v>
      </c>
      <c r="G36" s="27">
        <v>1990</v>
      </c>
      <c r="H36" s="27">
        <v>20</v>
      </c>
      <c r="I36" s="27">
        <v>25</v>
      </c>
      <c r="J36" s="27">
        <v>20</v>
      </c>
      <c r="K36" s="27">
        <v>10</v>
      </c>
      <c r="L36" s="27">
        <v>10</v>
      </c>
      <c r="M36" s="27">
        <v>10</v>
      </c>
      <c r="N36" s="27"/>
      <c r="O36" s="27"/>
      <c r="P36" s="28">
        <v>30</v>
      </c>
      <c r="Q36" s="28">
        <v>17.522857142857145</v>
      </c>
      <c r="R36" s="28">
        <v>25.502857142857145</v>
      </c>
      <c r="S36" s="27">
        <v>70</v>
      </c>
      <c r="T36" s="29">
        <v>217.60000000000002</v>
      </c>
      <c r="U36" s="27">
        <v>160</v>
      </c>
      <c r="V36" s="27">
        <v>9</v>
      </c>
      <c r="W36" s="27">
        <v>105</v>
      </c>
      <c r="X36" s="29">
        <v>200</v>
      </c>
      <c r="Y36" s="27" t="s">
        <v>287</v>
      </c>
      <c r="Z36" s="27" t="s">
        <v>287</v>
      </c>
      <c r="AA36" s="29">
        <v>4</v>
      </c>
      <c r="AB36" s="29">
        <v>8</v>
      </c>
      <c r="AC36" s="29" t="s">
        <v>386</v>
      </c>
      <c r="AD36" s="29" t="s">
        <v>386</v>
      </c>
      <c r="AE36" s="29" t="s">
        <v>386</v>
      </c>
      <c r="AF36" s="29" t="s">
        <v>386</v>
      </c>
      <c r="AG36" s="27">
        <v>12</v>
      </c>
      <c r="AH36" s="27">
        <v>0</v>
      </c>
      <c r="AI36" s="27">
        <v>0</v>
      </c>
      <c r="AJ36" s="23" t="s">
        <v>401</v>
      </c>
      <c r="AK36" s="23" t="s">
        <v>416</v>
      </c>
      <c r="AL36" s="30"/>
      <c r="AM36" s="23"/>
      <c r="AN36" s="31" t="s">
        <v>220</v>
      </c>
      <c r="AO36" s="23" t="s">
        <v>66</v>
      </c>
      <c r="AP36" s="23" t="s">
        <v>71</v>
      </c>
      <c r="AQ36" s="34">
        <v>2160.02</v>
      </c>
      <c r="AR36" s="23" t="s">
        <v>191</v>
      </c>
      <c r="AS36" s="23">
        <v>21</v>
      </c>
      <c r="AT36" s="23">
        <v>60</v>
      </c>
      <c r="AU36" s="23">
        <v>2</v>
      </c>
    </row>
    <row r="37" spans="1:47">
      <c r="A37" s="23" t="s">
        <v>416</v>
      </c>
      <c r="B37" s="23" t="s">
        <v>405</v>
      </c>
      <c r="C37" s="23">
        <v>3</v>
      </c>
      <c r="D37" s="23"/>
      <c r="E37" s="23" t="s">
        <v>60</v>
      </c>
      <c r="F37" s="23" t="s">
        <v>418</v>
      </c>
      <c r="G37" s="27">
        <v>1989</v>
      </c>
      <c r="H37" s="27">
        <v>20</v>
      </c>
      <c r="I37" s="27">
        <v>25</v>
      </c>
      <c r="J37" s="27">
        <v>20</v>
      </c>
      <c r="K37" s="27">
        <v>10</v>
      </c>
      <c r="L37" s="27">
        <v>10</v>
      </c>
      <c r="M37" s="27"/>
      <c r="N37" s="27"/>
      <c r="O37" s="27"/>
      <c r="P37" s="28">
        <v>20</v>
      </c>
      <c r="Q37" s="28">
        <v>16.80857142857143</v>
      </c>
      <c r="R37" s="28">
        <v>24.78857142857143</v>
      </c>
      <c r="S37" s="27">
        <v>70</v>
      </c>
      <c r="T37" s="29">
        <v>217.60000000000002</v>
      </c>
      <c r="U37" s="27">
        <v>160</v>
      </c>
      <c r="V37" s="27">
        <v>9</v>
      </c>
      <c r="W37" s="27">
        <v>105</v>
      </c>
      <c r="X37" s="29">
        <v>200</v>
      </c>
      <c r="Y37" s="27" t="s">
        <v>69</v>
      </c>
      <c r="Z37" s="27" t="s">
        <v>315</v>
      </c>
      <c r="AA37" s="29">
        <v>4</v>
      </c>
      <c r="AB37" s="29">
        <v>8</v>
      </c>
      <c r="AC37" s="29" t="s">
        <v>386</v>
      </c>
      <c r="AD37" s="29" t="s">
        <v>386</v>
      </c>
      <c r="AE37" s="29" t="s">
        <v>386</v>
      </c>
      <c r="AF37" s="29" t="s">
        <v>386</v>
      </c>
      <c r="AG37" s="27">
        <v>12</v>
      </c>
      <c r="AH37" s="27">
        <v>0</v>
      </c>
      <c r="AI37" s="27">
        <v>0</v>
      </c>
      <c r="AJ37" s="23" t="s">
        <v>401</v>
      </c>
      <c r="AK37" s="23" t="s">
        <v>416</v>
      </c>
      <c r="AL37" s="30"/>
      <c r="AM37" s="23"/>
      <c r="AN37" s="31" t="s">
        <v>219</v>
      </c>
      <c r="AO37" s="23" t="s">
        <v>66</v>
      </c>
      <c r="AP37" s="23" t="s">
        <v>72</v>
      </c>
      <c r="AQ37" s="34">
        <v>2161</v>
      </c>
      <c r="AR37" s="23" t="s">
        <v>78</v>
      </c>
      <c r="AS37" s="23">
        <v>21</v>
      </c>
      <c r="AT37" s="23">
        <v>61</v>
      </c>
      <c r="AU37" s="23">
        <v>0</v>
      </c>
    </row>
    <row r="38" spans="1:47">
      <c r="A38" s="23" t="s">
        <v>416</v>
      </c>
      <c r="B38" s="23" t="s">
        <v>405</v>
      </c>
      <c r="C38" s="23">
        <v>3</v>
      </c>
      <c r="D38" s="23"/>
      <c r="E38" s="23" t="s">
        <v>60</v>
      </c>
      <c r="F38" s="23" t="s">
        <v>418</v>
      </c>
      <c r="G38" s="27">
        <v>1989</v>
      </c>
      <c r="H38" s="27">
        <v>20</v>
      </c>
      <c r="I38" s="27">
        <v>25</v>
      </c>
      <c r="J38" s="27">
        <v>20</v>
      </c>
      <c r="K38" s="27">
        <v>10</v>
      </c>
      <c r="L38" s="27">
        <v>10</v>
      </c>
      <c r="M38" s="27"/>
      <c r="N38" s="27"/>
      <c r="O38" s="27"/>
      <c r="P38" s="28">
        <v>20</v>
      </c>
      <c r="Q38" s="28">
        <v>16.80857142857143</v>
      </c>
      <c r="R38" s="28">
        <v>24.78857142857143</v>
      </c>
      <c r="S38" s="27">
        <v>70</v>
      </c>
      <c r="T38" s="29">
        <v>217.60000000000002</v>
      </c>
      <c r="U38" s="27">
        <v>160</v>
      </c>
      <c r="V38" s="27">
        <v>9</v>
      </c>
      <c r="W38" s="27">
        <v>105</v>
      </c>
      <c r="X38" s="29">
        <v>200</v>
      </c>
      <c r="Y38" s="27" t="s">
        <v>102</v>
      </c>
      <c r="Z38" s="27" t="s">
        <v>316</v>
      </c>
      <c r="AA38" s="29">
        <v>4</v>
      </c>
      <c r="AB38" s="29">
        <v>8</v>
      </c>
      <c r="AC38" s="29" t="s">
        <v>386</v>
      </c>
      <c r="AD38" s="29" t="s">
        <v>386</v>
      </c>
      <c r="AE38" s="29" t="s">
        <v>386</v>
      </c>
      <c r="AF38" s="29" t="s">
        <v>386</v>
      </c>
      <c r="AG38" s="27">
        <v>12</v>
      </c>
      <c r="AH38" s="27">
        <v>0</v>
      </c>
      <c r="AI38" s="27">
        <v>0</v>
      </c>
      <c r="AJ38" s="23" t="s">
        <v>401</v>
      </c>
      <c r="AK38" s="23" t="s">
        <v>416</v>
      </c>
      <c r="AL38" s="30"/>
      <c r="AM38" s="23"/>
      <c r="AN38" s="31" t="s">
        <v>219</v>
      </c>
      <c r="AO38" s="23" t="s">
        <v>66</v>
      </c>
      <c r="AP38" s="23" t="s">
        <v>72</v>
      </c>
      <c r="AQ38" s="34">
        <v>2161.0100000000002</v>
      </c>
      <c r="AR38" s="23" t="s">
        <v>78</v>
      </c>
      <c r="AS38" s="23">
        <v>21</v>
      </c>
      <c r="AT38" s="23">
        <v>61</v>
      </c>
      <c r="AU38" s="23">
        <v>1</v>
      </c>
    </row>
    <row r="39" spans="1:47">
      <c r="A39" s="23" t="s">
        <v>393</v>
      </c>
      <c r="B39" s="23" t="s">
        <v>372</v>
      </c>
      <c r="C39" s="23">
        <v>3</v>
      </c>
      <c r="D39" s="23"/>
      <c r="E39" s="23" t="s">
        <v>60</v>
      </c>
      <c r="F39" s="23" t="s">
        <v>407</v>
      </c>
      <c r="G39" s="27">
        <v>1973</v>
      </c>
      <c r="H39" s="27">
        <v>20</v>
      </c>
      <c r="I39" s="27">
        <v>25</v>
      </c>
      <c r="J39" s="27">
        <v>20</v>
      </c>
      <c r="K39" s="27">
        <v>10</v>
      </c>
      <c r="L39" s="27">
        <v>10</v>
      </c>
      <c r="M39" s="27">
        <v>10</v>
      </c>
      <c r="N39" s="27">
        <v>10</v>
      </c>
      <c r="O39" s="27"/>
      <c r="P39" s="28">
        <v>40</v>
      </c>
      <c r="Q39" s="28">
        <v>18.445142857142859</v>
      </c>
      <c r="R39" s="28">
        <v>24.213142857142859</v>
      </c>
      <c r="S39" s="27">
        <v>70</v>
      </c>
      <c r="T39" s="29">
        <v>191.76000000000002</v>
      </c>
      <c r="U39" s="27">
        <v>141</v>
      </c>
      <c r="V39" s="27">
        <v>12</v>
      </c>
      <c r="W39" s="27">
        <v>147</v>
      </c>
      <c r="X39" s="29">
        <v>200</v>
      </c>
      <c r="Y39" s="27" t="s">
        <v>69</v>
      </c>
      <c r="Z39" s="27" t="s">
        <v>315</v>
      </c>
      <c r="AA39" s="29">
        <v>2</v>
      </c>
      <c r="AB39" s="29">
        <v>8</v>
      </c>
      <c r="AC39" s="29">
        <v>7</v>
      </c>
      <c r="AD39" s="29" t="s">
        <v>386</v>
      </c>
      <c r="AE39" s="29" t="s">
        <v>386</v>
      </c>
      <c r="AF39" s="29" t="s">
        <v>386</v>
      </c>
      <c r="AG39" s="27">
        <v>10</v>
      </c>
      <c r="AH39" s="27">
        <v>7</v>
      </c>
      <c r="AI39" s="27">
        <v>0</v>
      </c>
      <c r="AJ39" s="23" t="s">
        <v>401</v>
      </c>
      <c r="AK39" s="23" t="s">
        <v>403</v>
      </c>
      <c r="AL39" s="30"/>
      <c r="AM39" s="23"/>
      <c r="AN39" s="31" t="s">
        <v>221</v>
      </c>
      <c r="AO39" s="23" t="s">
        <v>394</v>
      </c>
      <c r="AP39" s="23" t="s">
        <v>71</v>
      </c>
      <c r="AQ39" s="34">
        <v>2200</v>
      </c>
      <c r="AR39" s="23" t="s">
        <v>78</v>
      </c>
      <c r="AS39" s="23">
        <v>22</v>
      </c>
      <c r="AT39" s="23">
        <v>0</v>
      </c>
      <c r="AU39" s="23">
        <v>0</v>
      </c>
    </row>
    <row r="40" spans="1:47">
      <c r="A40" s="23" t="s">
        <v>393</v>
      </c>
      <c r="B40" s="23" t="s">
        <v>372</v>
      </c>
      <c r="C40" s="23">
        <v>3</v>
      </c>
      <c r="D40" s="23"/>
      <c r="E40" s="23" t="s">
        <v>60</v>
      </c>
      <c r="F40" s="23" t="s">
        <v>407</v>
      </c>
      <c r="G40" s="27">
        <v>1973</v>
      </c>
      <c r="H40" s="27">
        <v>20</v>
      </c>
      <c r="I40" s="27">
        <v>25</v>
      </c>
      <c r="J40" s="27">
        <v>20</v>
      </c>
      <c r="K40" s="27">
        <v>10</v>
      </c>
      <c r="L40" s="27">
        <v>10</v>
      </c>
      <c r="M40" s="27">
        <v>10</v>
      </c>
      <c r="N40" s="27">
        <v>10</v>
      </c>
      <c r="O40" s="27"/>
      <c r="P40" s="28">
        <v>40</v>
      </c>
      <c r="Q40" s="28">
        <v>18.445142857142859</v>
      </c>
      <c r="R40" s="28">
        <v>24.213142857142859</v>
      </c>
      <c r="S40" s="27">
        <v>70</v>
      </c>
      <c r="T40" s="29">
        <v>191.76000000000002</v>
      </c>
      <c r="U40" s="27">
        <v>141</v>
      </c>
      <c r="V40" s="27">
        <v>12</v>
      </c>
      <c r="W40" s="27">
        <v>147</v>
      </c>
      <c r="X40" s="29">
        <v>200</v>
      </c>
      <c r="Y40" s="27" t="s">
        <v>102</v>
      </c>
      <c r="Z40" s="27" t="s">
        <v>316</v>
      </c>
      <c r="AA40" s="29">
        <v>2</v>
      </c>
      <c r="AB40" s="29">
        <v>8</v>
      </c>
      <c r="AC40" s="29">
        <v>7</v>
      </c>
      <c r="AD40" s="29" t="s">
        <v>386</v>
      </c>
      <c r="AE40" s="29" t="s">
        <v>386</v>
      </c>
      <c r="AF40" s="29" t="s">
        <v>386</v>
      </c>
      <c r="AG40" s="27">
        <v>10</v>
      </c>
      <c r="AH40" s="27">
        <v>7</v>
      </c>
      <c r="AI40" s="27">
        <v>0</v>
      </c>
      <c r="AJ40" s="23" t="s">
        <v>401</v>
      </c>
      <c r="AK40" s="23" t="s">
        <v>403</v>
      </c>
      <c r="AL40" s="30"/>
      <c r="AM40" s="23"/>
      <c r="AN40" s="31" t="s">
        <v>221</v>
      </c>
      <c r="AO40" s="23" t="s">
        <v>394</v>
      </c>
      <c r="AP40" s="23" t="s">
        <v>71</v>
      </c>
      <c r="AQ40" s="34">
        <v>2200.0100000000002</v>
      </c>
      <c r="AR40" s="23" t="s">
        <v>78</v>
      </c>
      <c r="AS40" s="23">
        <v>22</v>
      </c>
      <c r="AT40" s="23">
        <v>0</v>
      </c>
      <c r="AU40" s="23">
        <v>1</v>
      </c>
    </row>
    <row r="41" spans="1:47">
      <c r="A41" s="23" t="s">
        <v>393</v>
      </c>
      <c r="B41" s="23" t="s">
        <v>372</v>
      </c>
      <c r="C41" s="23">
        <v>3</v>
      </c>
      <c r="D41" s="23"/>
      <c r="E41" s="23" t="s">
        <v>60</v>
      </c>
      <c r="F41" s="23" t="s">
        <v>407</v>
      </c>
      <c r="G41" s="27">
        <v>1973</v>
      </c>
      <c r="H41" s="27">
        <v>20</v>
      </c>
      <c r="I41" s="27">
        <v>25</v>
      </c>
      <c r="J41" s="27">
        <v>20</v>
      </c>
      <c r="K41" s="27">
        <v>10</v>
      </c>
      <c r="L41" s="27">
        <v>10</v>
      </c>
      <c r="M41" s="27">
        <v>10</v>
      </c>
      <c r="N41" s="27">
        <v>10</v>
      </c>
      <c r="O41" s="27"/>
      <c r="P41" s="28">
        <v>40</v>
      </c>
      <c r="Q41" s="28">
        <v>18.445142857142859</v>
      </c>
      <c r="R41" s="28">
        <v>24.213142857142859</v>
      </c>
      <c r="S41" s="27">
        <v>70</v>
      </c>
      <c r="T41" s="29">
        <v>191.76000000000002</v>
      </c>
      <c r="U41" s="27">
        <v>141</v>
      </c>
      <c r="V41" s="27">
        <v>12</v>
      </c>
      <c r="W41" s="27">
        <v>147</v>
      </c>
      <c r="X41" s="29">
        <v>200</v>
      </c>
      <c r="Y41" s="27" t="s">
        <v>287</v>
      </c>
      <c r="Z41" s="27" t="s">
        <v>287</v>
      </c>
      <c r="AA41" s="29">
        <v>2</v>
      </c>
      <c r="AB41" s="29">
        <v>8</v>
      </c>
      <c r="AC41" s="29">
        <v>7</v>
      </c>
      <c r="AD41" s="29" t="s">
        <v>386</v>
      </c>
      <c r="AE41" s="29" t="s">
        <v>386</v>
      </c>
      <c r="AF41" s="29" t="s">
        <v>386</v>
      </c>
      <c r="AG41" s="27">
        <v>10</v>
      </c>
      <c r="AH41" s="27">
        <v>7</v>
      </c>
      <c r="AI41" s="27">
        <v>0</v>
      </c>
      <c r="AJ41" s="23" t="s">
        <v>401</v>
      </c>
      <c r="AK41" s="23" t="s">
        <v>403</v>
      </c>
      <c r="AL41" s="30"/>
      <c r="AM41" s="23"/>
      <c r="AN41" s="31" t="s">
        <v>221</v>
      </c>
      <c r="AO41" s="23" t="s">
        <v>394</v>
      </c>
      <c r="AP41" s="23" t="s">
        <v>71</v>
      </c>
      <c r="AQ41" s="34">
        <v>2200.02</v>
      </c>
      <c r="AR41" s="23" t="s">
        <v>191</v>
      </c>
      <c r="AS41" s="23">
        <v>22</v>
      </c>
      <c r="AT41" s="23">
        <v>0</v>
      </c>
      <c r="AU41" s="23">
        <v>2</v>
      </c>
    </row>
    <row r="42" spans="1:47">
      <c r="A42" s="23" t="s">
        <v>393</v>
      </c>
      <c r="B42" s="23" t="s">
        <v>372</v>
      </c>
      <c r="C42" s="23">
        <v>3</v>
      </c>
      <c r="D42" s="23"/>
      <c r="E42" s="23" t="s">
        <v>60</v>
      </c>
      <c r="F42" s="23" t="s">
        <v>407</v>
      </c>
      <c r="G42" s="27">
        <v>1973</v>
      </c>
      <c r="H42" s="27">
        <v>20</v>
      </c>
      <c r="I42" s="27">
        <v>25</v>
      </c>
      <c r="J42" s="27">
        <v>20</v>
      </c>
      <c r="K42" s="27">
        <v>10</v>
      </c>
      <c r="L42" s="27">
        <v>10</v>
      </c>
      <c r="M42" s="27">
        <v>10</v>
      </c>
      <c r="N42" s="27">
        <v>10</v>
      </c>
      <c r="O42" s="27"/>
      <c r="P42" s="28">
        <v>40</v>
      </c>
      <c r="Q42" s="28">
        <v>18.445142857142859</v>
      </c>
      <c r="R42" s="28">
        <v>24.213142857142859</v>
      </c>
      <c r="S42" s="27">
        <v>70</v>
      </c>
      <c r="T42" s="29">
        <v>191.76000000000002</v>
      </c>
      <c r="U42" s="27">
        <v>141</v>
      </c>
      <c r="V42" s="27">
        <v>12</v>
      </c>
      <c r="W42" s="27">
        <v>147</v>
      </c>
      <c r="X42" s="29">
        <v>200</v>
      </c>
      <c r="Y42" s="27" t="s">
        <v>192</v>
      </c>
      <c r="Z42" s="27" t="s">
        <v>390</v>
      </c>
      <c r="AA42" s="29">
        <v>2</v>
      </c>
      <c r="AB42" s="29">
        <v>8</v>
      </c>
      <c r="AC42" s="29">
        <v>7</v>
      </c>
      <c r="AD42" s="29" t="s">
        <v>386</v>
      </c>
      <c r="AE42" s="29" t="s">
        <v>386</v>
      </c>
      <c r="AF42" s="29" t="s">
        <v>386</v>
      </c>
      <c r="AG42" s="27">
        <v>10</v>
      </c>
      <c r="AH42" s="27">
        <v>7</v>
      </c>
      <c r="AI42" s="27">
        <v>0</v>
      </c>
      <c r="AJ42" s="23" t="s">
        <v>401</v>
      </c>
      <c r="AK42" s="23" t="s">
        <v>403</v>
      </c>
      <c r="AL42" s="30"/>
      <c r="AM42" s="23"/>
      <c r="AN42" s="31" t="s">
        <v>221</v>
      </c>
      <c r="AO42" s="23" t="s">
        <v>394</v>
      </c>
      <c r="AP42" s="23" t="s">
        <v>71</v>
      </c>
      <c r="AQ42" s="34">
        <v>2200.0300000000002</v>
      </c>
      <c r="AR42" s="23" t="s">
        <v>191</v>
      </c>
      <c r="AS42" s="23">
        <v>22</v>
      </c>
      <c r="AT42" s="23">
        <v>0</v>
      </c>
      <c r="AU42" s="23">
        <v>3</v>
      </c>
    </row>
    <row r="43" spans="1:47">
      <c r="A43" s="23" t="s">
        <v>395</v>
      </c>
      <c r="B43" s="23" t="s">
        <v>404</v>
      </c>
      <c r="C43" s="23">
        <v>3</v>
      </c>
      <c r="D43" s="23"/>
      <c r="E43" s="23" t="s">
        <v>60</v>
      </c>
      <c r="F43" s="23" t="s">
        <v>411</v>
      </c>
      <c r="G43" s="27">
        <v>1974</v>
      </c>
      <c r="H43" s="27">
        <v>20</v>
      </c>
      <c r="I43" s="27">
        <v>25</v>
      </c>
      <c r="J43" s="27">
        <v>20</v>
      </c>
      <c r="K43" s="27">
        <v>10</v>
      </c>
      <c r="L43" s="27">
        <v>10</v>
      </c>
      <c r="M43" s="27"/>
      <c r="N43" s="27"/>
      <c r="O43" s="27"/>
      <c r="P43" s="28">
        <v>20</v>
      </c>
      <c r="Q43" s="28">
        <v>17.016571428571428</v>
      </c>
      <c r="R43" s="28">
        <v>22.571238095238094</v>
      </c>
      <c r="S43" s="27">
        <v>90</v>
      </c>
      <c r="T43" s="29">
        <v>191.76000000000002</v>
      </c>
      <c r="U43" s="27">
        <v>141</v>
      </c>
      <c r="V43" s="27">
        <v>12</v>
      </c>
      <c r="W43" s="27">
        <v>115</v>
      </c>
      <c r="X43" s="29">
        <v>185</v>
      </c>
      <c r="Y43" s="27" t="s">
        <v>69</v>
      </c>
      <c r="Z43" s="27" t="s">
        <v>315</v>
      </c>
      <c r="AA43" s="29">
        <v>2</v>
      </c>
      <c r="AB43" s="29">
        <v>8</v>
      </c>
      <c r="AC43" s="29">
        <v>7</v>
      </c>
      <c r="AD43" s="29" t="s">
        <v>386</v>
      </c>
      <c r="AE43" s="29" t="s">
        <v>386</v>
      </c>
      <c r="AF43" s="29" t="s">
        <v>386</v>
      </c>
      <c r="AG43" s="27">
        <v>10</v>
      </c>
      <c r="AH43" s="27">
        <v>7</v>
      </c>
      <c r="AI43" s="27">
        <v>0</v>
      </c>
      <c r="AJ43" s="23" t="s">
        <v>401</v>
      </c>
      <c r="AK43" s="23" t="s">
        <v>403</v>
      </c>
      <c r="AL43" s="30"/>
      <c r="AM43" s="23"/>
      <c r="AN43" s="31" t="s">
        <v>219</v>
      </c>
      <c r="AO43" s="23" t="s">
        <v>394</v>
      </c>
      <c r="AP43" s="23" t="s">
        <v>89</v>
      </c>
      <c r="AQ43" s="34">
        <v>2202</v>
      </c>
      <c r="AR43" s="23" t="s">
        <v>78</v>
      </c>
      <c r="AS43" s="23">
        <v>22</v>
      </c>
      <c r="AT43" s="23">
        <v>2</v>
      </c>
      <c r="AU43" s="23">
        <v>0</v>
      </c>
    </row>
    <row r="44" spans="1:47">
      <c r="A44" s="23" t="s">
        <v>395</v>
      </c>
      <c r="B44" s="23" t="s">
        <v>404</v>
      </c>
      <c r="C44" s="23">
        <v>3</v>
      </c>
      <c r="D44" s="23"/>
      <c r="E44" s="23" t="s">
        <v>60</v>
      </c>
      <c r="F44" s="23" t="s">
        <v>411</v>
      </c>
      <c r="G44" s="27">
        <v>1974</v>
      </c>
      <c r="H44" s="27">
        <v>20</v>
      </c>
      <c r="I44" s="27">
        <v>25</v>
      </c>
      <c r="J44" s="27">
        <v>20</v>
      </c>
      <c r="K44" s="27">
        <v>10</v>
      </c>
      <c r="L44" s="27">
        <v>10</v>
      </c>
      <c r="M44" s="27"/>
      <c r="N44" s="27"/>
      <c r="O44" s="27"/>
      <c r="P44" s="28">
        <v>20</v>
      </c>
      <c r="Q44" s="28">
        <v>17.016571428571428</v>
      </c>
      <c r="R44" s="28">
        <v>22.571238095238094</v>
      </c>
      <c r="S44" s="27">
        <v>90</v>
      </c>
      <c r="T44" s="29">
        <v>191.76000000000002</v>
      </c>
      <c r="U44" s="27">
        <v>141</v>
      </c>
      <c r="V44" s="27">
        <v>12</v>
      </c>
      <c r="W44" s="27">
        <v>115</v>
      </c>
      <c r="X44" s="29">
        <v>185</v>
      </c>
      <c r="Y44" s="27" t="s">
        <v>102</v>
      </c>
      <c r="Z44" s="27" t="s">
        <v>316</v>
      </c>
      <c r="AA44" s="29">
        <v>2</v>
      </c>
      <c r="AB44" s="29">
        <v>8</v>
      </c>
      <c r="AC44" s="29">
        <v>7</v>
      </c>
      <c r="AD44" s="29" t="s">
        <v>386</v>
      </c>
      <c r="AE44" s="29" t="s">
        <v>386</v>
      </c>
      <c r="AF44" s="29" t="s">
        <v>386</v>
      </c>
      <c r="AG44" s="27">
        <v>10</v>
      </c>
      <c r="AH44" s="27">
        <v>7</v>
      </c>
      <c r="AI44" s="27">
        <v>0</v>
      </c>
      <c r="AJ44" s="23" t="s">
        <v>401</v>
      </c>
      <c r="AK44" s="23" t="s">
        <v>403</v>
      </c>
      <c r="AL44" s="30"/>
      <c r="AM44" s="23"/>
      <c r="AN44" s="31" t="s">
        <v>219</v>
      </c>
      <c r="AO44" s="23" t="s">
        <v>394</v>
      </c>
      <c r="AP44" s="23" t="s">
        <v>89</v>
      </c>
      <c r="AQ44" s="34">
        <v>2202.0100000000002</v>
      </c>
      <c r="AR44" s="23" t="s">
        <v>78</v>
      </c>
      <c r="AS44" s="23">
        <v>22</v>
      </c>
      <c r="AT44" s="23">
        <v>2</v>
      </c>
      <c r="AU44" s="23">
        <v>1</v>
      </c>
    </row>
    <row r="45" spans="1:47">
      <c r="A45" s="23" t="s">
        <v>395</v>
      </c>
      <c r="B45" s="23" t="s">
        <v>404</v>
      </c>
      <c r="C45" s="23">
        <v>3</v>
      </c>
      <c r="D45" s="23"/>
      <c r="E45" s="23" t="s">
        <v>60</v>
      </c>
      <c r="F45" s="23" t="s">
        <v>411</v>
      </c>
      <c r="G45" s="27">
        <v>1974</v>
      </c>
      <c r="H45" s="27">
        <v>20</v>
      </c>
      <c r="I45" s="27">
        <v>25</v>
      </c>
      <c r="J45" s="27">
        <v>20</v>
      </c>
      <c r="K45" s="27">
        <v>10</v>
      </c>
      <c r="L45" s="27">
        <v>10</v>
      </c>
      <c r="M45" s="27"/>
      <c r="N45" s="27"/>
      <c r="O45" s="27"/>
      <c r="P45" s="28">
        <v>20</v>
      </c>
      <c r="Q45" s="28">
        <v>17.016571428571428</v>
      </c>
      <c r="R45" s="28">
        <v>22.571238095238094</v>
      </c>
      <c r="S45" s="27">
        <v>90</v>
      </c>
      <c r="T45" s="29">
        <v>191.76000000000002</v>
      </c>
      <c r="U45" s="27">
        <v>141</v>
      </c>
      <c r="V45" s="27">
        <v>12</v>
      </c>
      <c r="W45" s="27">
        <v>115</v>
      </c>
      <c r="X45" s="29">
        <v>185</v>
      </c>
      <c r="Y45" s="27" t="s">
        <v>192</v>
      </c>
      <c r="Z45" s="27" t="s">
        <v>390</v>
      </c>
      <c r="AA45" s="29">
        <v>2</v>
      </c>
      <c r="AB45" s="29">
        <v>8</v>
      </c>
      <c r="AC45" s="29">
        <v>7</v>
      </c>
      <c r="AD45" s="29" t="s">
        <v>386</v>
      </c>
      <c r="AE45" s="29" t="s">
        <v>386</v>
      </c>
      <c r="AF45" s="29" t="s">
        <v>386</v>
      </c>
      <c r="AG45" s="27">
        <v>10</v>
      </c>
      <c r="AH45" s="27">
        <v>7</v>
      </c>
      <c r="AI45" s="27">
        <v>0</v>
      </c>
      <c r="AJ45" s="23" t="s">
        <v>401</v>
      </c>
      <c r="AK45" s="23" t="s">
        <v>403</v>
      </c>
      <c r="AL45" s="30"/>
      <c r="AM45" s="23"/>
      <c r="AN45" s="31" t="s">
        <v>219</v>
      </c>
      <c r="AO45" s="23" t="s">
        <v>394</v>
      </c>
      <c r="AP45" s="23" t="s">
        <v>89</v>
      </c>
      <c r="AQ45" s="34">
        <v>2202.02</v>
      </c>
      <c r="AR45" s="23" t="s">
        <v>191</v>
      </c>
      <c r="AS45" s="23">
        <v>22</v>
      </c>
      <c r="AT45" s="23">
        <v>2</v>
      </c>
      <c r="AU45" s="23">
        <v>2</v>
      </c>
    </row>
    <row r="46" spans="1:47">
      <c r="A46" s="23" t="s">
        <v>397</v>
      </c>
      <c r="B46" s="23" t="s">
        <v>372</v>
      </c>
      <c r="C46" s="23">
        <v>3</v>
      </c>
      <c r="D46" s="23"/>
      <c r="E46" s="23" t="s">
        <v>60</v>
      </c>
      <c r="F46" s="23" t="s">
        <v>414</v>
      </c>
      <c r="G46" s="27">
        <v>1985</v>
      </c>
      <c r="H46" s="27">
        <v>20</v>
      </c>
      <c r="I46" s="27">
        <v>25</v>
      </c>
      <c r="J46" s="27">
        <v>20</v>
      </c>
      <c r="K46" s="27">
        <v>10</v>
      </c>
      <c r="L46" s="27">
        <v>10</v>
      </c>
      <c r="M46" s="27">
        <v>10</v>
      </c>
      <c r="N46" s="27">
        <v>10</v>
      </c>
      <c r="O46" s="27"/>
      <c r="P46" s="28">
        <v>40</v>
      </c>
      <c r="Q46" s="28">
        <v>19.873142857142859</v>
      </c>
      <c r="R46" s="28">
        <v>27.069142857142861</v>
      </c>
      <c r="S46" s="27">
        <v>70</v>
      </c>
      <c r="T46" s="29">
        <v>220.32000000000002</v>
      </c>
      <c r="U46" s="27">
        <v>162</v>
      </c>
      <c r="V46" s="27">
        <v>12</v>
      </c>
      <c r="W46" s="27">
        <v>147</v>
      </c>
      <c r="X46" s="29">
        <v>200</v>
      </c>
      <c r="Y46" s="27" t="s">
        <v>69</v>
      </c>
      <c r="Z46" s="27" t="s">
        <v>315</v>
      </c>
      <c r="AA46" s="29">
        <v>2</v>
      </c>
      <c r="AB46" s="29">
        <v>8</v>
      </c>
      <c r="AC46" s="29">
        <v>7</v>
      </c>
      <c r="AD46" s="29" t="s">
        <v>386</v>
      </c>
      <c r="AE46" s="29" t="s">
        <v>386</v>
      </c>
      <c r="AF46" s="29" t="s">
        <v>386</v>
      </c>
      <c r="AG46" s="27">
        <v>10</v>
      </c>
      <c r="AH46" s="27">
        <v>7</v>
      </c>
      <c r="AI46" s="27">
        <v>0</v>
      </c>
      <c r="AJ46" s="23" t="s">
        <v>401</v>
      </c>
      <c r="AK46" s="23" t="s">
        <v>403</v>
      </c>
      <c r="AL46" s="30"/>
      <c r="AM46" s="23"/>
      <c r="AN46" s="31" t="s">
        <v>221</v>
      </c>
      <c r="AO46" s="23" t="s">
        <v>394</v>
      </c>
      <c r="AP46" s="23" t="s">
        <v>71</v>
      </c>
      <c r="AQ46" s="34">
        <v>2203</v>
      </c>
      <c r="AR46" s="23" t="s">
        <v>78</v>
      </c>
      <c r="AS46" s="23">
        <v>22</v>
      </c>
      <c r="AT46" s="23">
        <v>3</v>
      </c>
      <c r="AU46" s="23">
        <v>0</v>
      </c>
    </row>
    <row r="47" spans="1:47">
      <c r="A47" s="23" t="s">
        <v>397</v>
      </c>
      <c r="B47" s="23" t="s">
        <v>372</v>
      </c>
      <c r="C47" s="23">
        <v>3</v>
      </c>
      <c r="D47" s="23"/>
      <c r="E47" s="23" t="s">
        <v>60</v>
      </c>
      <c r="F47" s="23" t="s">
        <v>414</v>
      </c>
      <c r="G47" s="27">
        <v>1985</v>
      </c>
      <c r="H47" s="27">
        <v>20</v>
      </c>
      <c r="I47" s="27">
        <v>25</v>
      </c>
      <c r="J47" s="27">
        <v>20</v>
      </c>
      <c r="K47" s="27">
        <v>10</v>
      </c>
      <c r="L47" s="27">
        <v>10</v>
      </c>
      <c r="M47" s="27">
        <v>10</v>
      </c>
      <c r="N47" s="27">
        <v>10</v>
      </c>
      <c r="O47" s="27"/>
      <c r="P47" s="28">
        <v>40</v>
      </c>
      <c r="Q47" s="28">
        <v>19.873142857142859</v>
      </c>
      <c r="R47" s="28">
        <v>27.069142857142861</v>
      </c>
      <c r="S47" s="27">
        <v>70</v>
      </c>
      <c r="T47" s="29">
        <v>220.32000000000002</v>
      </c>
      <c r="U47" s="27">
        <v>162</v>
      </c>
      <c r="V47" s="27">
        <v>12</v>
      </c>
      <c r="W47" s="27">
        <v>147</v>
      </c>
      <c r="X47" s="29">
        <v>200</v>
      </c>
      <c r="Y47" s="27" t="s">
        <v>102</v>
      </c>
      <c r="Z47" s="27" t="s">
        <v>316</v>
      </c>
      <c r="AA47" s="29">
        <v>2</v>
      </c>
      <c r="AB47" s="29">
        <v>8</v>
      </c>
      <c r="AC47" s="29">
        <v>7</v>
      </c>
      <c r="AD47" s="29" t="s">
        <v>386</v>
      </c>
      <c r="AE47" s="29" t="s">
        <v>386</v>
      </c>
      <c r="AF47" s="29" t="s">
        <v>386</v>
      </c>
      <c r="AG47" s="27">
        <v>10</v>
      </c>
      <c r="AH47" s="27">
        <v>7</v>
      </c>
      <c r="AI47" s="27">
        <v>0</v>
      </c>
      <c r="AJ47" s="23" t="s">
        <v>401</v>
      </c>
      <c r="AK47" s="23" t="s">
        <v>403</v>
      </c>
      <c r="AL47" s="30"/>
      <c r="AM47" s="23"/>
      <c r="AN47" s="31" t="s">
        <v>221</v>
      </c>
      <c r="AO47" s="23" t="s">
        <v>394</v>
      </c>
      <c r="AP47" s="23" t="s">
        <v>71</v>
      </c>
      <c r="AQ47" s="34">
        <v>2203.0100000000002</v>
      </c>
      <c r="AR47" s="23" t="s">
        <v>78</v>
      </c>
      <c r="AS47" s="23">
        <v>22</v>
      </c>
      <c r="AT47" s="23">
        <v>3</v>
      </c>
      <c r="AU47" s="23">
        <v>1</v>
      </c>
    </row>
    <row r="48" spans="1:47">
      <c r="A48" s="23" t="s">
        <v>397</v>
      </c>
      <c r="B48" s="23" t="s">
        <v>372</v>
      </c>
      <c r="C48" s="23">
        <v>3</v>
      </c>
      <c r="D48" s="23"/>
      <c r="E48" s="23" t="s">
        <v>60</v>
      </c>
      <c r="F48" s="23" t="s">
        <v>414</v>
      </c>
      <c r="G48" s="27">
        <v>1985</v>
      </c>
      <c r="H48" s="27">
        <v>20</v>
      </c>
      <c r="I48" s="27">
        <v>25</v>
      </c>
      <c r="J48" s="27">
        <v>20</v>
      </c>
      <c r="K48" s="27">
        <v>10</v>
      </c>
      <c r="L48" s="27">
        <v>10</v>
      </c>
      <c r="M48" s="27">
        <v>10</v>
      </c>
      <c r="N48" s="27">
        <v>10</v>
      </c>
      <c r="O48" s="27"/>
      <c r="P48" s="28">
        <v>40</v>
      </c>
      <c r="Q48" s="28">
        <v>19.873142857142859</v>
      </c>
      <c r="R48" s="28">
        <v>27.069142857142861</v>
      </c>
      <c r="S48" s="27">
        <v>70</v>
      </c>
      <c r="T48" s="29">
        <v>220.32000000000002</v>
      </c>
      <c r="U48" s="27">
        <v>162</v>
      </c>
      <c r="V48" s="27">
        <v>12</v>
      </c>
      <c r="W48" s="27">
        <v>147</v>
      </c>
      <c r="X48" s="29">
        <v>200</v>
      </c>
      <c r="Y48" s="27" t="s">
        <v>287</v>
      </c>
      <c r="Z48" s="27" t="s">
        <v>287</v>
      </c>
      <c r="AA48" s="29">
        <v>2</v>
      </c>
      <c r="AB48" s="29">
        <v>8</v>
      </c>
      <c r="AC48" s="29">
        <v>7</v>
      </c>
      <c r="AD48" s="29" t="s">
        <v>386</v>
      </c>
      <c r="AE48" s="29" t="s">
        <v>386</v>
      </c>
      <c r="AF48" s="29" t="s">
        <v>386</v>
      </c>
      <c r="AG48" s="27">
        <v>10</v>
      </c>
      <c r="AH48" s="27">
        <v>7</v>
      </c>
      <c r="AI48" s="27">
        <v>0</v>
      </c>
      <c r="AJ48" s="23" t="s">
        <v>401</v>
      </c>
      <c r="AK48" s="23" t="s">
        <v>403</v>
      </c>
      <c r="AL48" s="30"/>
      <c r="AM48" s="23"/>
      <c r="AN48" s="31" t="s">
        <v>221</v>
      </c>
      <c r="AO48" s="23" t="s">
        <v>394</v>
      </c>
      <c r="AP48" s="23" t="s">
        <v>71</v>
      </c>
      <c r="AQ48" s="34">
        <v>2203.02</v>
      </c>
      <c r="AR48" s="23" t="s">
        <v>191</v>
      </c>
      <c r="AS48" s="23">
        <v>22</v>
      </c>
      <c r="AT48" s="23">
        <v>3</v>
      </c>
      <c r="AU48" s="23">
        <v>2</v>
      </c>
    </row>
    <row r="49" spans="1:47">
      <c r="A49" s="23" t="s">
        <v>396</v>
      </c>
      <c r="B49" s="23" t="s">
        <v>405</v>
      </c>
      <c r="C49" s="23">
        <v>3</v>
      </c>
      <c r="D49" s="23"/>
      <c r="E49" s="23" t="s">
        <v>60</v>
      </c>
      <c r="F49" s="23" t="s">
        <v>413</v>
      </c>
      <c r="G49" s="27">
        <v>1979</v>
      </c>
      <c r="H49" s="27">
        <v>20</v>
      </c>
      <c r="I49" s="27">
        <v>25</v>
      </c>
      <c r="J49" s="27">
        <v>20</v>
      </c>
      <c r="K49" s="27">
        <v>10</v>
      </c>
      <c r="L49" s="27">
        <v>10</v>
      </c>
      <c r="M49" s="27">
        <v>10</v>
      </c>
      <c r="N49" s="27"/>
      <c r="O49" s="27"/>
      <c r="P49" s="28">
        <v>30</v>
      </c>
      <c r="Q49" s="28">
        <v>19.158857142857144</v>
      </c>
      <c r="R49" s="28">
        <v>26.008190476190478</v>
      </c>
      <c r="S49" s="27">
        <v>70</v>
      </c>
      <c r="T49" s="29">
        <v>220.32000000000002</v>
      </c>
      <c r="U49" s="27">
        <v>162</v>
      </c>
      <c r="V49" s="27">
        <v>12</v>
      </c>
      <c r="W49" s="27">
        <v>95</v>
      </c>
      <c r="X49" s="29">
        <v>200</v>
      </c>
      <c r="Y49" s="27" t="s">
        <v>69</v>
      </c>
      <c r="Z49" s="27" t="s">
        <v>315</v>
      </c>
      <c r="AA49" s="29">
        <v>2</v>
      </c>
      <c r="AB49" s="29">
        <v>8</v>
      </c>
      <c r="AC49" s="29">
        <v>7</v>
      </c>
      <c r="AD49" s="29" t="s">
        <v>386</v>
      </c>
      <c r="AE49" s="29" t="s">
        <v>386</v>
      </c>
      <c r="AF49" s="29" t="s">
        <v>386</v>
      </c>
      <c r="AG49" s="27">
        <v>10</v>
      </c>
      <c r="AH49" s="27">
        <v>7</v>
      </c>
      <c r="AI49" s="27">
        <v>0</v>
      </c>
      <c r="AJ49" s="23" t="s">
        <v>401</v>
      </c>
      <c r="AK49" s="23" t="s">
        <v>403</v>
      </c>
      <c r="AL49" s="30"/>
      <c r="AM49" s="23"/>
      <c r="AN49" s="31" t="s">
        <v>220</v>
      </c>
      <c r="AO49" s="23" t="s">
        <v>394</v>
      </c>
      <c r="AP49" s="23" t="s">
        <v>72</v>
      </c>
      <c r="AQ49" s="34">
        <v>2204</v>
      </c>
      <c r="AR49" s="23" t="s">
        <v>78</v>
      </c>
      <c r="AS49" s="23">
        <v>22</v>
      </c>
      <c r="AT49" s="23">
        <v>4</v>
      </c>
      <c r="AU49" s="23">
        <v>0</v>
      </c>
    </row>
    <row r="50" spans="1:47">
      <c r="A50" s="23" t="s">
        <v>396</v>
      </c>
      <c r="B50" s="23" t="s">
        <v>405</v>
      </c>
      <c r="C50" s="23">
        <v>3</v>
      </c>
      <c r="D50" s="23"/>
      <c r="E50" s="23" t="s">
        <v>60</v>
      </c>
      <c r="F50" s="23" t="s">
        <v>413</v>
      </c>
      <c r="G50" s="27">
        <v>1979</v>
      </c>
      <c r="H50" s="27">
        <v>20</v>
      </c>
      <c r="I50" s="27">
        <v>25</v>
      </c>
      <c r="J50" s="27">
        <v>20</v>
      </c>
      <c r="K50" s="27">
        <v>10</v>
      </c>
      <c r="L50" s="27">
        <v>10</v>
      </c>
      <c r="M50" s="27">
        <v>10</v>
      </c>
      <c r="N50" s="27"/>
      <c r="O50" s="27"/>
      <c r="P50" s="28">
        <v>30</v>
      </c>
      <c r="Q50" s="28">
        <v>19.158857142857144</v>
      </c>
      <c r="R50" s="28">
        <v>26.008190476190478</v>
      </c>
      <c r="S50" s="27">
        <v>70</v>
      </c>
      <c r="T50" s="29">
        <v>220.32000000000002</v>
      </c>
      <c r="U50" s="27">
        <v>162</v>
      </c>
      <c r="V50" s="27">
        <v>12</v>
      </c>
      <c r="W50" s="27">
        <v>95</v>
      </c>
      <c r="X50" s="29">
        <v>200</v>
      </c>
      <c r="Y50" s="27" t="s">
        <v>102</v>
      </c>
      <c r="Z50" s="27" t="s">
        <v>316</v>
      </c>
      <c r="AA50" s="29">
        <v>2</v>
      </c>
      <c r="AB50" s="29">
        <v>8</v>
      </c>
      <c r="AC50" s="29">
        <v>7</v>
      </c>
      <c r="AD50" s="29" t="s">
        <v>386</v>
      </c>
      <c r="AE50" s="29" t="s">
        <v>386</v>
      </c>
      <c r="AF50" s="29" t="s">
        <v>386</v>
      </c>
      <c r="AG50" s="27">
        <v>10</v>
      </c>
      <c r="AH50" s="27">
        <v>7</v>
      </c>
      <c r="AI50" s="27">
        <v>0</v>
      </c>
      <c r="AJ50" s="23" t="s">
        <v>401</v>
      </c>
      <c r="AK50" s="23" t="s">
        <v>403</v>
      </c>
      <c r="AL50" s="30"/>
      <c r="AM50" s="23"/>
      <c r="AN50" s="31" t="s">
        <v>220</v>
      </c>
      <c r="AO50" s="23" t="s">
        <v>394</v>
      </c>
      <c r="AP50" s="23" t="s">
        <v>72</v>
      </c>
      <c r="AQ50" s="34">
        <v>2204.0100000000002</v>
      </c>
      <c r="AR50" s="23" t="s">
        <v>78</v>
      </c>
      <c r="AS50" s="23">
        <v>22</v>
      </c>
      <c r="AT50" s="23">
        <v>4</v>
      </c>
      <c r="AU50" s="23">
        <v>1</v>
      </c>
    </row>
    <row r="51" spans="1:47">
      <c r="A51" s="23" t="s">
        <v>396</v>
      </c>
      <c r="B51" s="23" t="s">
        <v>405</v>
      </c>
      <c r="C51" s="23">
        <v>3</v>
      </c>
      <c r="D51" s="23"/>
      <c r="E51" s="23" t="s">
        <v>60</v>
      </c>
      <c r="F51" s="23" t="s">
        <v>413</v>
      </c>
      <c r="G51" s="27">
        <v>1979</v>
      </c>
      <c r="H51" s="27">
        <v>20</v>
      </c>
      <c r="I51" s="27">
        <v>25</v>
      </c>
      <c r="J51" s="27">
        <v>20</v>
      </c>
      <c r="K51" s="27">
        <v>10</v>
      </c>
      <c r="L51" s="27">
        <v>10</v>
      </c>
      <c r="M51" s="27">
        <v>10</v>
      </c>
      <c r="N51" s="27"/>
      <c r="O51" s="27"/>
      <c r="P51" s="28">
        <v>30</v>
      </c>
      <c r="Q51" s="28">
        <v>19.158857142857144</v>
      </c>
      <c r="R51" s="28">
        <v>26.008190476190478</v>
      </c>
      <c r="S51" s="27">
        <v>70</v>
      </c>
      <c r="T51" s="29">
        <v>220.32000000000002</v>
      </c>
      <c r="U51" s="27">
        <v>162</v>
      </c>
      <c r="V51" s="27">
        <v>12</v>
      </c>
      <c r="W51" s="27">
        <v>95</v>
      </c>
      <c r="X51" s="29">
        <v>200</v>
      </c>
      <c r="Y51" s="27" t="s">
        <v>192</v>
      </c>
      <c r="Z51" s="27" t="s">
        <v>390</v>
      </c>
      <c r="AA51" s="29">
        <v>2</v>
      </c>
      <c r="AB51" s="29">
        <v>8</v>
      </c>
      <c r="AC51" s="29">
        <v>7</v>
      </c>
      <c r="AD51" s="29" t="s">
        <v>386</v>
      </c>
      <c r="AE51" s="29" t="s">
        <v>386</v>
      </c>
      <c r="AF51" s="29" t="s">
        <v>386</v>
      </c>
      <c r="AG51" s="27">
        <v>10</v>
      </c>
      <c r="AH51" s="27">
        <v>7</v>
      </c>
      <c r="AI51" s="27">
        <v>0</v>
      </c>
      <c r="AJ51" s="23" t="s">
        <v>401</v>
      </c>
      <c r="AK51" s="23" t="s">
        <v>403</v>
      </c>
      <c r="AL51" s="30"/>
      <c r="AM51" s="23"/>
      <c r="AN51" s="31" t="s">
        <v>220</v>
      </c>
      <c r="AO51" s="23" t="s">
        <v>394</v>
      </c>
      <c r="AP51" s="23" t="s">
        <v>72</v>
      </c>
      <c r="AQ51" s="34">
        <v>2204.02</v>
      </c>
      <c r="AR51" s="23" t="s">
        <v>191</v>
      </c>
      <c r="AS51" s="23">
        <v>22</v>
      </c>
      <c r="AT51" s="23">
        <v>4</v>
      </c>
      <c r="AU51" s="23">
        <v>2</v>
      </c>
    </row>
    <row r="52" spans="1:47">
      <c r="A52" s="26" t="s">
        <v>175</v>
      </c>
      <c r="B52" s="23" t="s">
        <v>55</v>
      </c>
      <c r="C52" s="23">
        <v>2</v>
      </c>
      <c r="D52" s="23"/>
      <c r="E52" s="23" t="s">
        <v>60</v>
      </c>
      <c r="F52" s="23" t="s">
        <v>185</v>
      </c>
      <c r="G52" s="27">
        <v>1991</v>
      </c>
      <c r="H52" s="27">
        <v>20</v>
      </c>
      <c r="I52" s="27">
        <v>25</v>
      </c>
      <c r="J52" s="27">
        <v>20</v>
      </c>
      <c r="K52" s="27">
        <v>4</v>
      </c>
      <c r="L52" s="27">
        <v>4</v>
      </c>
      <c r="M52" s="27"/>
      <c r="N52" s="27"/>
      <c r="O52" s="27"/>
      <c r="P52" s="28">
        <v>8</v>
      </c>
      <c r="Q52" s="28">
        <v>20.555428571428575</v>
      </c>
      <c r="R52" s="28">
        <v>30.959428571428571</v>
      </c>
      <c r="S52" s="27">
        <v>110</v>
      </c>
      <c r="T52" s="29">
        <v>289.68</v>
      </c>
      <c r="U52" s="27">
        <v>213</v>
      </c>
      <c r="V52" s="27">
        <v>11</v>
      </c>
      <c r="W52" s="27">
        <v>48</v>
      </c>
      <c r="X52" s="29">
        <v>200</v>
      </c>
      <c r="Y52" s="27" t="s">
        <v>69</v>
      </c>
      <c r="Z52" s="27" t="s">
        <v>69</v>
      </c>
      <c r="AA52" s="29">
        <v>4</v>
      </c>
      <c r="AB52" s="29">
        <v>8</v>
      </c>
      <c r="AC52" s="29" t="s">
        <v>386</v>
      </c>
      <c r="AD52" s="29" t="s">
        <v>386</v>
      </c>
      <c r="AE52" s="29" t="s">
        <v>386</v>
      </c>
      <c r="AF52" s="29" t="s">
        <v>386</v>
      </c>
      <c r="AG52" s="27">
        <v>12</v>
      </c>
      <c r="AH52" s="27">
        <v>0</v>
      </c>
      <c r="AI52" s="27">
        <v>0</v>
      </c>
      <c r="AJ52" s="23" t="s">
        <v>184</v>
      </c>
      <c r="AK52" s="23" t="s">
        <v>175</v>
      </c>
      <c r="AL52" s="30"/>
      <c r="AM52" s="23"/>
      <c r="AN52" s="31" t="s">
        <v>219</v>
      </c>
      <c r="AO52" s="23" t="s">
        <v>66</v>
      </c>
      <c r="AP52" s="23" t="s">
        <v>71</v>
      </c>
      <c r="AQ52" s="34">
        <v>3000</v>
      </c>
      <c r="AR52" s="23" t="s">
        <v>78</v>
      </c>
      <c r="AS52" s="23">
        <v>30</v>
      </c>
      <c r="AT52" s="23">
        <v>0</v>
      </c>
      <c r="AU52" s="23">
        <v>0</v>
      </c>
    </row>
    <row r="53" spans="1:47">
      <c r="A53" s="26" t="s">
        <v>175</v>
      </c>
      <c r="B53" s="23" t="s">
        <v>55</v>
      </c>
      <c r="C53" s="23">
        <v>2</v>
      </c>
      <c r="D53" s="23"/>
      <c r="E53" s="23" t="s">
        <v>60</v>
      </c>
      <c r="F53" s="23" t="s">
        <v>185</v>
      </c>
      <c r="G53" s="27">
        <v>1991</v>
      </c>
      <c r="H53" s="27">
        <v>20</v>
      </c>
      <c r="I53" s="27">
        <v>25</v>
      </c>
      <c r="J53" s="27">
        <v>20</v>
      </c>
      <c r="K53" s="27">
        <v>4</v>
      </c>
      <c r="L53" s="27">
        <v>4</v>
      </c>
      <c r="M53" s="27"/>
      <c r="N53" s="27"/>
      <c r="O53" s="27"/>
      <c r="P53" s="28">
        <v>8</v>
      </c>
      <c r="Q53" s="28">
        <v>20.555428571428575</v>
      </c>
      <c r="R53" s="28">
        <v>30.959428571428571</v>
      </c>
      <c r="S53" s="27">
        <v>110</v>
      </c>
      <c r="T53" s="29">
        <v>289.68</v>
      </c>
      <c r="U53" s="27">
        <v>213</v>
      </c>
      <c r="V53" s="27">
        <v>11</v>
      </c>
      <c r="W53" s="27">
        <v>48</v>
      </c>
      <c r="X53" s="29">
        <v>200</v>
      </c>
      <c r="Y53" s="27" t="s">
        <v>102</v>
      </c>
      <c r="Z53" s="27" t="s">
        <v>102</v>
      </c>
      <c r="AA53" s="29">
        <v>4</v>
      </c>
      <c r="AB53" s="29">
        <v>8</v>
      </c>
      <c r="AC53" s="29" t="s">
        <v>386</v>
      </c>
      <c r="AD53" s="29" t="s">
        <v>386</v>
      </c>
      <c r="AE53" s="29" t="s">
        <v>386</v>
      </c>
      <c r="AF53" s="29" t="s">
        <v>386</v>
      </c>
      <c r="AG53" s="27">
        <v>12</v>
      </c>
      <c r="AH53" s="27">
        <v>0</v>
      </c>
      <c r="AI53" s="27">
        <v>0</v>
      </c>
      <c r="AJ53" s="23" t="s">
        <v>184</v>
      </c>
      <c r="AK53" s="23" t="s">
        <v>175</v>
      </c>
      <c r="AL53" s="30"/>
      <c r="AM53" s="23"/>
      <c r="AN53" s="31" t="s">
        <v>219</v>
      </c>
      <c r="AO53" s="23" t="s">
        <v>66</v>
      </c>
      <c r="AP53" s="23" t="s">
        <v>71</v>
      </c>
      <c r="AQ53" s="34">
        <v>3000.01</v>
      </c>
      <c r="AR53" s="23" t="s">
        <v>78</v>
      </c>
      <c r="AS53" s="23">
        <v>30</v>
      </c>
      <c r="AT53" s="23">
        <v>0</v>
      </c>
      <c r="AU53" s="23">
        <v>1</v>
      </c>
    </row>
    <row r="54" spans="1:47">
      <c r="A54" s="26" t="s">
        <v>175</v>
      </c>
      <c r="B54" s="23" t="s">
        <v>55</v>
      </c>
      <c r="C54" s="23">
        <v>2</v>
      </c>
      <c r="D54" s="23"/>
      <c r="E54" s="23" t="s">
        <v>60</v>
      </c>
      <c r="F54" s="23" t="s">
        <v>185</v>
      </c>
      <c r="G54" s="27">
        <v>1991</v>
      </c>
      <c r="H54" s="27">
        <v>20</v>
      </c>
      <c r="I54" s="27">
        <v>25</v>
      </c>
      <c r="J54" s="27">
        <v>20</v>
      </c>
      <c r="K54" s="27">
        <v>4</v>
      </c>
      <c r="L54" s="27">
        <v>4</v>
      </c>
      <c r="M54" s="27"/>
      <c r="N54" s="27"/>
      <c r="O54" s="27"/>
      <c r="P54" s="28">
        <v>8</v>
      </c>
      <c r="Q54" s="28">
        <v>20.555428571428575</v>
      </c>
      <c r="R54" s="28">
        <v>30.959428571428571</v>
      </c>
      <c r="S54" s="27">
        <v>110</v>
      </c>
      <c r="T54" s="29">
        <v>289.68</v>
      </c>
      <c r="U54" s="27">
        <v>213</v>
      </c>
      <c r="V54" s="27">
        <v>11</v>
      </c>
      <c r="W54" s="27">
        <v>48</v>
      </c>
      <c r="X54" s="29">
        <v>200</v>
      </c>
      <c r="Y54" s="27" t="s">
        <v>186</v>
      </c>
      <c r="Z54" s="27" t="s">
        <v>186</v>
      </c>
      <c r="AA54" s="29">
        <v>4</v>
      </c>
      <c r="AB54" s="29">
        <v>8</v>
      </c>
      <c r="AC54" s="29" t="s">
        <v>386</v>
      </c>
      <c r="AD54" s="29" t="s">
        <v>386</v>
      </c>
      <c r="AE54" s="29" t="s">
        <v>386</v>
      </c>
      <c r="AF54" s="29" t="s">
        <v>386</v>
      </c>
      <c r="AG54" s="27">
        <v>12</v>
      </c>
      <c r="AH54" s="27">
        <v>0</v>
      </c>
      <c r="AI54" s="27">
        <v>0</v>
      </c>
      <c r="AJ54" s="23" t="s">
        <v>184</v>
      </c>
      <c r="AK54" s="23" t="s">
        <v>175</v>
      </c>
      <c r="AL54" s="30"/>
      <c r="AM54" s="23"/>
      <c r="AN54" s="31" t="s">
        <v>219</v>
      </c>
      <c r="AO54" s="23" t="s">
        <v>66</v>
      </c>
      <c r="AP54" s="23" t="s">
        <v>71</v>
      </c>
      <c r="AQ54" s="34">
        <v>3000.02</v>
      </c>
      <c r="AR54" s="23" t="s">
        <v>78</v>
      </c>
      <c r="AS54" s="23">
        <v>30</v>
      </c>
      <c r="AT54" s="23">
        <v>0</v>
      </c>
      <c r="AU54" s="23">
        <v>2</v>
      </c>
    </row>
    <row r="55" spans="1:47">
      <c r="A55" s="26" t="s">
        <v>205</v>
      </c>
      <c r="B55" s="23">
        <v>9.5</v>
      </c>
      <c r="C55" s="23">
        <v>3</v>
      </c>
      <c r="D55" s="23"/>
      <c r="E55" s="23" t="s">
        <v>60</v>
      </c>
      <c r="F55" s="23" t="s">
        <v>193</v>
      </c>
      <c r="G55" s="27">
        <v>2000</v>
      </c>
      <c r="H55" s="27">
        <v>20</v>
      </c>
      <c r="I55" s="27">
        <v>25</v>
      </c>
      <c r="J55" s="27">
        <v>20</v>
      </c>
      <c r="K55" s="27">
        <v>5</v>
      </c>
      <c r="L55" s="27">
        <v>12</v>
      </c>
      <c r="M55" s="27">
        <v>5</v>
      </c>
      <c r="N55" s="27"/>
      <c r="O55" s="27"/>
      <c r="P55" s="28">
        <v>22</v>
      </c>
      <c r="Q55" s="28">
        <v>17.539428571428573</v>
      </c>
      <c r="R55" s="28">
        <v>26.834095238095241</v>
      </c>
      <c r="S55" s="27">
        <v>80</v>
      </c>
      <c r="T55" s="29">
        <v>239.36</v>
      </c>
      <c r="U55" s="27">
        <v>176</v>
      </c>
      <c r="V55" s="27">
        <v>8</v>
      </c>
      <c r="W55" s="27">
        <v>79</v>
      </c>
      <c r="X55" s="29">
        <v>200</v>
      </c>
      <c r="Y55" s="27" t="s">
        <v>69</v>
      </c>
      <c r="Z55" s="27" t="s">
        <v>69</v>
      </c>
      <c r="AA55" s="29">
        <v>2</v>
      </c>
      <c r="AB55" s="29">
        <v>8</v>
      </c>
      <c r="AC55" s="29" t="s">
        <v>386</v>
      </c>
      <c r="AD55" s="29" t="s">
        <v>386</v>
      </c>
      <c r="AE55" s="29" t="s">
        <v>386</v>
      </c>
      <c r="AF55" s="29" t="s">
        <v>386</v>
      </c>
      <c r="AG55" s="27">
        <v>10</v>
      </c>
      <c r="AH55" s="27">
        <v>0</v>
      </c>
      <c r="AI55" s="27">
        <v>0</v>
      </c>
      <c r="AJ55" s="23" t="s">
        <v>184</v>
      </c>
      <c r="AK55" s="23" t="s">
        <v>205</v>
      </c>
      <c r="AL55" s="30">
        <v>9.5</v>
      </c>
      <c r="AM55" s="23"/>
      <c r="AN55" s="31" t="s">
        <v>220</v>
      </c>
      <c r="AO55" s="23" t="s">
        <v>212</v>
      </c>
      <c r="AP55" s="23" t="s">
        <v>71</v>
      </c>
      <c r="AQ55" s="34">
        <v>4000</v>
      </c>
      <c r="AR55" s="23" t="s">
        <v>78</v>
      </c>
      <c r="AS55" s="23">
        <v>40</v>
      </c>
      <c r="AT55" s="23">
        <v>0</v>
      </c>
      <c r="AU55" s="23">
        <v>0</v>
      </c>
    </row>
    <row r="56" spans="1:47">
      <c r="A56" s="26" t="s">
        <v>205</v>
      </c>
      <c r="B56" s="23">
        <v>11</v>
      </c>
      <c r="C56" s="23">
        <v>3</v>
      </c>
      <c r="D56" s="23"/>
      <c r="E56" s="23" t="s">
        <v>60</v>
      </c>
      <c r="F56" s="23" t="s">
        <v>196</v>
      </c>
      <c r="G56" s="27">
        <v>2002</v>
      </c>
      <c r="H56" s="27">
        <v>20</v>
      </c>
      <c r="I56" s="27">
        <v>25</v>
      </c>
      <c r="J56" s="27">
        <v>20</v>
      </c>
      <c r="K56" s="27">
        <v>5</v>
      </c>
      <c r="L56" s="27">
        <v>12</v>
      </c>
      <c r="M56" s="27">
        <v>5</v>
      </c>
      <c r="N56" s="27"/>
      <c r="O56" s="27"/>
      <c r="P56" s="28">
        <v>22</v>
      </c>
      <c r="Q56" s="28">
        <v>17.539428571428573</v>
      </c>
      <c r="R56" s="28">
        <v>26.920761904761907</v>
      </c>
      <c r="S56" s="27">
        <v>80</v>
      </c>
      <c r="T56" s="29">
        <v>239.36</v>
      </c>
      <c r="U56" s="27">
        <v>176</v>
      </c>
      <c r="V56" s="27">
        <v>8</v>
      </c>
      <c r="W56" s="27">
        <v>92</v>
      </c>
      <c r="X56" s="29">
        <v>200</v>
      </c>
      <c r="Y56" s="27" t="s">
        <v>69</v>
      </c>
      <c r="Z56" s="27" t="s">
        <v>69</v>
      </c>
      <c r="AA56" s="29">
        <v>3</v>
      </c>
      <c r="AB56" s="29">
        <v>8</v>
      </c>
      <c r="AC56" s="29" t="s">
        <v>386</v>
      </c>
      <c r="AD56" s="29" t="s">
        <v>386</v>
      </c>
      <c r="AE56" s="29" t="s">
        <v>386</v>
      </c>
      <c r="AF56" s="29" t="s">
        <v>386</v>
      </c>
      <c r="AG56" s="27">
        <v>11</v>
      </c>
      <c r="AH56" s="27">
        <v>0</v>
      </c>
      <c r="AI56" s="27">
        <v>0</v>
      </c>
      <c r="AJ56" s="23" t="s">
        <v>184</v>
      </c>
      <c r="AK56" s="23" t="s">
        <v>205</v>
      </c>
      <c r="AL56" s="30">
        <v>11</v>
      </c>
      <c r="AM56" s="23"/>
      <c r="AN56" s="31" t="s">
        <v>220</v>
      </c>
      <c r="AO56" s="23" t="s">
        <v>213</v>
      </c>
      <c r="AP56" s="23" t="s">
        <v>71</v>
      </c>
      <c r="AQ56" s="34">
        <v>4001</v>
      </c>
      <c r="AR56" s="23" t="s">
        <v>78</v>
      </c>
      <c r="AS56" s="23">
        <v>40</v>
      </c>
      <c r="AT56" s="23">
        <v>1</v>
      </c>
      <c r="AU56" s="23">
        <v>0</v>
      </c>
    </row>
    <row r="57" spans="1:47">
      <c r="A57" s="26" t="s">
        <v>176</v>
      </c>
      <c r="B57" s="23">
        <v>10</v>
      </c>
      <c r="C57" s="23">
        <v>2</v>
      </c>
      <c r="D57" s="23"/>
      <c r="E57" s="23" t="s">
        <v>60</v>
      </c>
      <c r="F57" s="23" t="s">
        <v>179</v>
      </c>
      <c r="G57" s="27">
        <v>2016</v>
      </c>
      <c r="H57" s="27">
        <v>20</v>
      </c>
      <c r="I57" s="27">
        <v>25</v>
      </c>
      <c r="J57" s="27">
        <v>20</v>
      </c>
      <c r="K57" s="27">
        <v>14</v>
      </c>
      <c r="L57" s="27">
        <v>14</v>
      </c>
      <c r="M57" s="27"/>
      <c r="N57" s="27"/>
      <c r="O57" s="27"/>
      <c r="P57" s="28">
        <v>28</v>
      </c>
      <c r="Q57" s="28">
        <v>20.78</v>
      </c>
      <c r="R57" s="28">
        <v>31.926666666666669</v>
      </c>
      <c r="S57" s="27">
        <v>80</v>
      </c>
      <c r="T57" s="29">
        <v>285.60000000000002</v>
      </c>
      <c r="U57" s="27">
        <v>210</v>
      </c>
      <c r="V57" s="27">
        <v>9</v>
      </c>
      <c r="W57" s="27">
        <v>70</v>
      </c>
      <c r="X57" s="29">
        <v>200</v>
      </c>
      <c r="Y57" s="27" t="s">
        <v>69</v>
      </c>
      <c r="Z57" s="27" t="s">
        <v>69</v>
      </c>
      <c r="AA57" s="29">
        <v>2</v>
      </c>
      <c r="AB57" s="29">
        <v>8</v>
      </c>
      <c r="AC57" s="29" t="s">
        <v>386</v>
      </c>
      <c r="AD57" s="29" t="s">
        <v>386</v>
      </c>
      <c r="AE57" s="29" t="s">
        <v>386</v>
      </c>
      <c r="AF57" s="29" t="s">
        <v>386</v>
      </c>
      <c r="AG57" s="27">
        <v>10</v>
      </c>
      <c r="AH57" s="27">
        <v>0</v>
      </c>
      <c r="AI57" s="27">
        <v>0</v>
      </c>
      <c r="AJ57" s="23" t="s">
        <v>184</v>
      </c>
      <c r="AK57" s="23" t="s">
        <v>176</v>
      </c>
      <c r="AL57" s="30"/>
      <c r="AM57" s="23">
        <v>10</v>
      </c>
      <c r="AN57" s="31" t="s">
        <v>219</v>
      </c>
      <c r="AO57" s="23" t="s">
        <v>67</v>
      </c>
      <c r="AP57" s="23" t="s">
        <v>71</v>
      </c>
      <c r="AQ57" s="34">
        <v>4007</v>
      </c>
      <c r="AR57" s="23" t="s">
        <v>78</v>
      </c>
      <c r="AS57" s="23">
        <v>40</v>
      </c>
      <c r="AT57" s="23">
        <v>7</v>
      </c>
      <c r="AU57" s="23">
        <v>0</v>
      </c>
    </row>
    <row r="58" spans="1:47">
      <c r="A58" s="26" t="s">
        <v>176</v>
      </c>
      <c r="B58" s="23" t="s">
        <v>177</v>
      </c>
      <c r="C58" s="23">
        <v>3</v>
      </c>
      <c r="D58" s="23"/>
      <c r="E58" s="23" t="s">
        <v>60</v>
      </c>
      <c r="F58" s="23" t="s">
        <v>180</v>
      </c>
      <c r="G58" s="27">
        <v>2013</v>
      </c>
      <c r="H58" s="27">
        <v>20</v>
      </c>
      <c r="I58" s="27">
        <v>25</v>
      </c>
      <c r="J58" s="27">
        <v>20</v>
      </c>
      <c r="K58" s="27">
        <v>14</v>
      </c>
      <c r="L58" s="27">
        <v>14</v>
      </c>
      <c r="M58" s="27">
        <v>12</v>
      </c>
      <c r="N58" s="27"/>
      <c r="O58" s="27"/>
      <c r="P58" s="28">
        <v>40</v>
      </c>
      <c r="Q58" s="28">
        <v>21.637142857142859</v>
      </c>
      <c r="R58" s="28">
        <v>32.983809523809526</v>
      </c>
      <c r="S58" s="27">
        <v>80</v>
      </c>
      <c r="T58" s="29">
        <v>285.60000000000002</v>
      </c>
      <c r="U58" s="27">
        <v>210</v>
      </c>
      <c r="V58" s="27">
        <v>9</v>
      </c>
      <c r="W58" s="27">
        <v>100</v>
      </c>
      <c r="X58" s="29">
        <v>200</v>
      </c>
      <c r="Y58" s="27" t="s">
        <v>69</v>
      </c>
      <c r="Z58" s="27" t="s">
        <v>69</v>
      </c>
      <c r="AA58" s="29">
        <v>4</v>
      </c>
      <c r="AB58" s="29">
        <v>8</v>
      </c>
      <c r="AC58" s="29" t="s">
        <v>386</v>
      </c>
      <c r="AD58" s="29" t="s">
        <v>386</v>
      </c>
      <c r="AE58" s="29" t="s">
        <v>386</v>
      </c>
      <c r="AF58" s="29" t="s">
        <v>386</v>
      </c>
      <c r="AG58" s="27">
        <v>12</v>
      </c>
      <c r="AH58" s="27">
        <v>0</v>
      </c>
      <c r="AI58" s="27">
        <v>0</v>
      </c>
      <c r="AJ58" s="23" t="s">
        <v>184</v>
      </c>
      <c r="AK58" s="23" t="s">
        <v>176</v>
      </c>
      <c r="AL58" s="30"/>
      <c r="AM58" s="23" t="s">
        <v>177</v>
      </c>
      <c r="AN58" s="31" t="s">
        <v>220</v>
      </c>
      <c r="AO58" s="23" t="s">
        <v>66</v>
      </c>
      <c r="AP58" s="23" t="s">
        <v>71</v>
      </c>
      <c r="AQ58" s="34">
        <v>4008</v>
      </c>
      <c r="AR58" s="23" t="s">
        <v>78</v>
      </c>
      <c r="AS58" s="23">
        <v>40</v>
      </c>
      <c r="AT58" s="23">
        <v>8</v>
      </c>
      <c r="AU58" s="23">
        <v>0</v>
      </c>
    </row>
    <row r="59" spans="1:47">
      <c r="A59" s="26" t="s">
        <v>176</v>
      </c>
      <c r="B59" s="23">
        <v>12</v>
      </c>
      <c r="C59" s="23">
        <v>2</v>
      </c>
      <c r="D59" s="23"/>
      <c r="E59" s="23" t="s">
        <v>60</v>
      </c>
      <c r="F59" s="23" t="s">
        <v>182</v>
      </c>
      <c r="G59" s="27">
        <v>2012</v>
      </c>
      <c r="H59" s="27">
        <v>20</v>
      </c>
      <c r="I59" s="27">
        <v>25</v>
      </c>
      <c r="J59" s="27">
        <v>20</v>
      </c>
      <c r="K59" s="27">
        <v>14</v>
      </c>
      <c r="L59" s="27">
        <v>14</v>
      </c>
      <c r="M59" s="27"/>
      <c r="N59" s="27"/>
      <c r="O59" s="27"/>
      <c r="P59" s="28">
        <v>28</v>
      </c>
      <c r="Q59" s="28">
        <v>20.78</v>
      </c>
      <c r="R59" s="28">
        <v>32.06666666666667</v>
      </c>
      <c r="S59" s="27">
        <v>80</v>
      </c>
      <c r="T59" s="29">
        <v>285.60000000000002</v>
      </c>
      <c r="U59" s="27">
        <v>210</v>
      </c>
      <c r="V59" s="27">
        <v>9</v>
      </c>
      <c r="W59" s="27">
        <v>91</v>
      </c>
      <c r="X59" s="29">
        <v>200</v>
      </c>
      <c r="Y59" s="27" t="s">
        <v>69</v>
      </c>
      <c r="Z59" s="27" t="s">
        <v>69</v>
      </c>
      <c r="AA59" s="29">
        <v>4</v>
      </c>
      <c r="AB59" s="29">
        <v>8</v>
      </c>
      <c r="AC59" s="29" t="s">
        <v>386</v>
      </c>
      <c r="AD59" s="29" t="s">
        <v>386</v>
      </c>
      <c r="AE59" s="29" t="s">
        <v>386</v>
      </c>
      <c r="AF59" s="29" t="s">
        <v>386</v>
      </c>
      <c r="AG59" s="27">
        <v>12</v>
      </c>
      <c r="AH59" s="27">
        <v>0</v>
      </c>
      <c r="AI59" s="27">
        <v>0</v>
      </c>
      <c r="AJ59" s="23" t="s">
        <v>184</v>
      </c>
      <c r="AK59" s="23" t="s">
        <v>176</v>
      </c>
      <c r="AL59" s="30"/>
      <c r="AM59" s="23">
        <v>12</v>
      </c>
      <c r="AN59" s="31" t="s">
        <v>219</v>
      </c>
      <c r="AO59" s="23" t="s">
        <v>66</v>
      </c>
      <c r="AP59" s="23" t="s">
        <v>71</v>
      </c>
      <c r="AQ59" s="34">
        <v>4009</v>
      </c>
      <c r="AR59" s="23" t="s">
        <v>78</v>
      </c>
      <c r="AS59" s="23">
        <v>40</v>
      </c>
      <c r="AT59" s="23">
        <v>9</v>
      </c>
      <c r="AU59" s="23">
        <v>0</v>
      </c>
    </row>
    <row r="60" spans="1:47">
      <c r="A60" s="26" t="s">
        <v>176</v>
      </c>
      <c r="B60" s="23" t="s">
        <v>178</v>
      </c>
      <c r="C60" s="23">
        <v>3</v>
      </c>
      <c r="D60" s="23"/>
      <c r="E60" s="23" t="s">
        <v>60</v>
      </c>
      <c r="F60" s="23" t="s">
        <v>181</v>
      </c>
      <c r="G60" s="27">
        <v>2016</v>
      </c>
      <c r="H60" s="27">
        <v>20</v>
      </c>
      <c r="I60" s="27">
        <v>25</v>
      </c>
      <c r="J60" s="27">
        <v>20</v>
      </c>
      <c r="K60" s="27">
        <v>14</v>
      </c>
      <c r="L60" s="27">
        <v>14</v>
      </c>
      <c r="M60" s="27">
        <v>12</v>
      </c>
      <c r="N60" s="27"/>
      <c r="O60" s="27"/>
      <c r="P60" s="28">
        <v>40</v>
      </c>
      <c r="Q60" s="28">
        <v>22.137142857142859</v>
      </c>
      <c r="R60" s="28">
        <v>33.183809523809529</v>
      </c>
      <c r="S60" s="27">
        <v>80</v>
      </c>
      <c r="T60" s="29">
        <v>285.60000000000002</v>
      </c>
      <c r="U60" s="27">
        <v>210</v>
      </c>
      <c r="V60" s="27">
        <v>10</v>
      </c>
      <c r="W60" s="27">
        <v>115</v>
      </c>
      <c r="X60" s="29">
        <v>200</v>
      </c>
      <c r="Y60" s="27" t="s">
        <v>69</v>
      </c>
      <c r="Z60" s="27" t="s">
        <v>69</v>
      </c>
      <c r="AA60" s="29">
        <v>5</v>
      </c>
      <c r="AB60" s="29">
        <v>8</v>
      </c>
      <c r="AC60" s="29" t="s">
        <v>386</v>
      </c>
      <c r="AD60" s="29" t="s">
        <v>386</v>
      </c>
      <c r="AE60" s="29" t="s">
        <v>386</v>
      </c>
      <c r="AF60" s="29" t="s">
        <v>386</v>
      </c>
      <c r="AG60" s="27">
        <v>13</v>
      </c>
      <c r="AH60" s="27">
        <v>0</v>
      </c>
      <c r="AI60" s="27">
        <v>0</v>
      </c>
      <c r="AJ60" s="23" t="s">
        <v>184</v>
      </c>
      <c r="AK60" s="23" t="s">
        <v>176</v>
      </c>
      <c r="AL60" s="30"/>
      <c r="AM60" s="23" t="s">
        <v>178</v>
      </c>
      <c r="AN60" s="31" t="s">
        <v>220</v>
      </c>
      <c r="AO60" s="23" t="s">
        <v>88</v>
      </c>
      <c r="AP60" s="23" t="s">
        <v>71</v>
      </c>
      <c r="AQ60" s="34">
        <v>4010</v>
      </c>
      <c r="AR60" s="23" t="s">
        <v>78</v>
      </c>
      <c r="AS60" s="23">
        <v>40</v>
      </c>
      <c r="AT60" s="23">
        <v>10</v>
      </c>
      <c r="AU60" s="23">
        <v>0</v>
      </c>
    </row>
    <row r="61" spans="1:47">
      <c r="A61" s="26" t="s">
        <v>176</v>
      </c>
      <c r="B61" s="23">
        <v>13</v>
      </c>
      <c r="C61" s="23">
        <v>2</v>
      </c>
      <c r="D61" s="23"/>
      <c r="E61" s="23" t="s">
        <v>60</v>
      </c>
      <c r="F61" s="23" t="s">
        <v>183</v>
      </c>
      <c r="G61" s="27">
        <v>2016</v>
      </c>
      <c r="H61" s="27">
        <v>20</v>
      </c>
      <c r="I61" s="27">
        <v>25</v>
      </c>
      <c r="J61" s="27">
        <v>20</v>
      </c>
      <c r="K61" s="27">
        <v>14</v>
      </c>
      <c r="L61" s="27">
        <v>14</v>
      </c>
      <c r="M61" s="27"/>
      <c r="N61" s="27"/>
      <c r="O61" s="27"/>
      <c r="P61" s="28">
        <v>28</v>
      </c>
      <c r="Q61" s="28">
        <v>21.28</v>
      </c>
      <c r="R61" s="28">
        <v>32.200000000000003</v>
      </c>
      <c r="S61" s="27">
        <v>80</v>
      </c>
      <c r="T61" s="29">
        <v>285.60000000000002</v>
      </c>
      <c r="U61" s="27">
        <v>210</v>
      </c>
      <c r="V61" s="27">
        <v>10</v>
      </c>
      <c r="W61" s="27">
        <v>96</v>
      </c>
      <c r="X61" s="29">
        <v>200</v>
      </c>
      <c r="Y61" s="27" t="s">
        <v>69</v>
      </c>
      <c r="Z61" s="27" t="s">
        <v>69</v>
      </c>
      <c r="AA61" s="29">
        <v>5</v>
      </c>
      <c r="AB61" s="29">
        <v>8</v>
      </c>
      <c r="AC61" s="29" t="s">
        <v>386</v>
      </c>
      <c r="AD61" s="29" t="s">
        <v>386</v>
      </c>
      <c r="AE61" s="29" t="s">
        <v>386</v>
      </c>
      <c r="AF61" s="29" t="s">
        <v>386</v>
      </c>
      <c r="AG61" s="27">
        <v>13</v>
      </c>
      <c r="AH61" s="27">
        <v>0</v>
      </c>
      <c r="AI61" s="27">
        <v>0</v>
      </c>
      <c r="AJ61" s="23" t="s">
        <v>184</v>
      </c>
      <c r="AK61" s="23" t="s">
        <v>176</v>
      </c>
      <c r="AL61" s="30"/>
      <c r="AM61" s="23">
        <v>13</v>
      </c>
      <c r="AN61" s="31" t="s">
        <v>219</v>
      </c>
      <c r="AO61" s="23" t="s">
        <v>88</v>
      </c>
      <c r="AP61" s="23" t="s">
        <v>71</v>
      </c>
      <c r="AQ61" s="34">
        <v>4011</v>
      </c>
      <c r="AR61" s="23" t="s">
        <v>78</v>
      </c>
      <c r="AS61" s="23">
        <v>40</v>
      </c>
      <c r="AT61" s="23">
        <v>11</v>
      </c>
      <c r="AU61" s="23">
        <v>0</v>
      </c>
    </row>
    <row r="62" spans="1:47">
      <c r="A62" s="26" t="s">
        <v>206</v>
      </c>
      <c r="B62" s="23">
        <v>9.5</v>
      </c>
      <c r="C62" s="23">
        <v>2</v>
      </c>
      <c r="D62" s="23"/>
      <c r="E62" s="23" t="s">
        <v>60</v>
      </c>
      <c r="F62" s="23" t="s">
        <v>195</v>
      </c>
      <c r="G62" s="27">
        <v>2000</v>
      </c>
      <c r="H62" s="27">
        <v>20</v>
      </c>
      <c r="I62" s="27">
        <v>25</v>
      </c>
      <c r="J62" s="27">
        <v>20</v>
      </c>
      <c r="K62" s="27">
        <v>5</v>
      </c>
      <c r="L62" s="27">
        <v>5</v>
      </c>
      <c r="M62" s="27"/>
      <c r="N62" s="27"/>
      <c r="O62" s="27"/>
      <c r="P62" s="28">
        <v>10</v>
      </c>
      <c r="Q62" s="28">
        <v>16.682285714285715</v>
      </c>
      <c r="R62" s="28">
        <v>25.823619047619051</v>
      </c>
      <c r="S62" s="27">
        <v>100</v>
      </c>
      <c r="T62" s="29">
        <v>239.36</v>
      </c>
      <c r="U62" s="27">
        <v>176</v>
      </c>
      <c r="V62" s="27">
        <v>8</v>
      </c>
      <c r="W62" s="27">
        <v>56</v>
      </c>
      <c r="X62" s="29">
        <v>185</v>
      </c>
      <c r="Y62" s="27" t="s">
        <v>69</v>
      </c>
      <c r="Z62" s="27" t="s">
        <v>69</v>
      </c>
      <c r="AA62" s="29">
        <v>2</v>
      </c>
      <c r="AB62" s="29">
        <v>8</v>
      </c>
      <c r="AC62" s="29" t="s">
        <v>386</v>
      </c>
      <c r="AD62" s="29" t="s">
        <v>386</v>
      </c>
      <c r="AE62" s="29" t="s">
        <v>386</v>
      </c>
      <c r="AF62" s="29" t="s">
        <v>386</v>
      </c>
      <c r="AG62" s="27">
        <v>10</v>
      </c>
      <c r="AH62" s="27">
        <v>0</v>
      </c>
      <c r="AI62" s="27">
        <v>0</v>
      </c>
      <c r="AJ62" s="23" t="s">
        <v>184</v>
      </c>
      <c r="AK62" s="23" t="s">
        <v>206</v>
      </c>
      <c r="AL62" s="30">
        <v>9.5</v>
      </c>
      <c r="AM62" s="23"/>
      <c r="AN62" s="31" t="s">
        <v>219</v>
      </c>
      <c r="AO62" s="23" t="s">
        <v>212</v>
      </c>
      <c r="AP62" s="23" t="s">
        <v>89</v>
      </c>
      <c r="AQ62" s="34">
        <v>4014</v>
      </c>
      <c r="AR62" s="23" t="s">
        <v>78</v>
      </c>
      <c r="AS62" s="23">
        <v>40</v>
      </c>
      <c r="AT62" s="23">
        <v>14</v>
      </c>
      <c r="AU62" s="23">
        <v>0</v>
      </c>
    </row>
    <row r="63" spans="1:47">
      <c r="A63" s="26" t="s">
        <v>208</v>
      </c>
      <c r="B63" s="23">
        <v>11</v>
      </c>
      <c r="C63" s="23">
        <v>2</v>
      </c>
      <c r="D63" s="23"/>
      <c r="E63" s="23" t="s">
        <v>60</v>
      </c>
      <c r="F63" s="23" t="s">
        <v>198</v>
      </c>
      <c r="G63" s="27">
        <v>2003</v>
      </c>
      <c r="H63" s="27">
        <v>20</v>
      </c>
      <c r="I63" s="27">
        <v>25</v>
      </c>
      <c r="J63" s="27">
        <v>20</v>
      </c>
      <c r="K63" s="27">
        <v>5</v>
      </c>
      <c r="L63" s="27">
        <v>10</v>
      </c>
      <c r="M63" s="27"/>
      <c r="N63" s="27"/>
      <c r="O63" s="27"/>
      <c r="P63" s="28">
        <v>15</v>
      </c>
      <c r="Q63" s="28">
        <v>17.039428571428573</v>
      </c>
      <c r="R63" s="28">
        <v>26.334095238095241</v>
      </c>
      <c r="S63" s="27">
        <v>100</v>
      </c>
      <c r="T63" s="29">
        <v>239.36</v>
      </c>
      <c r="U63" s="27">
        <v>176</v>
      </c>
      <c r="V63" s="27">
        <v>8</v>
      </c>
      <c r="W63" s="27">
        <v>79</v>
      </c>
      <c r="X63" s="29">
        <v>185</v>
      </c>
      <c r="Y63" s="27" t="s">
        <v>69</v>
      </c>
      <c r="Z63" s="27" t="s">
        <v>69</v>
      </c>
      <c r="AA63" s="29">
        <v>3</v>
      </c>
      <c r="AB63" s="29">
        <v>8</v>
      </c>
      <c r="AC63" s="29" t="s">
        <v>386</v>
      </c>
      <c r="AD63" s="29" t="s">
        <v>386</v>
      </c>
      <c r="AE63" s="29" t="s">
        <v>386</v>
      </c>
      <c r="AF63" s="29" t="s">
        <v>386</v>
      </c>
      <c r="AG63" s="27">
        <v>11</v>
      </c>
      <c r="AH63" s="27">
        <v>0</v>
      </c>
      <c r="AI63" s="27">
        <v>0</v>
      </c>
      <c r="AJ63" s="23" t="s">
        <v>184</v>
      </c>
      <c r="AK63" s="23" t="s">
        <v>208</v>
      </c>
      <c r="AL63" s="30">
        <v>11</v>
      </c>
      <c r="AM63" s="23"/>
      <c r="AN63" s="31" t="s">
        <v>219</v>
      </c>
      <c r="AO63" s="23" t="s">
        <v>213</v>
      </c>
      <c r="AP63" s="23" t="s">
        <v>89</v>
      </c>
      <c r="AQ63" s="34">
        <v>4015</v>
      </c>
      <c r="AR63" s="23" t="s">
        <v>78</v>
      </c>
      <c r="AS63" s="23">
        <v>40</v>
      </c>
      <c r="AT63" s="23">
        <v>15</v>
      </c>
      <c r="AU63" s="23">
        <v>0</v>
      </c>
    </row>
    <row r="64" spans="1:47">
      <c r="A64" s="26" t="s">
        <v>208</v>
      </c>
      <c r="B64" s="23">
        <v>11</v>
      </c>
      <c r="C64" s="23">
        <v>2</v>
      </c>
      <c r="D64" s="23"/>
      <c r="E64" s="23" t="s">
        <v>60</v>
      </c>
      <c r="F64" s="23" t="s">
        <v>198</v>
      </c>
      <c r="G64" s="27">
        <v>2003</v>
      </c>
      <c r="H64" s="27">
        <v>20</v>
      </c>
      <c r="I64" s="27">
        <v>25</v>
      </c>
      <c r="J64" s="27">
        <v>20</v>
      </c>
      <c r="K64" s="27">
        <v>5</v>
      </c>
      <c r="L64" s="27">
        <v>10</v>
      </c>
      <c r="M64" s="27"/>
      <c r="N64" s="27"/>
      <c r="O64" s="27"/>
      <c r="P64" s="28">
        <v>15</v>
      </c>
      <c r="Q64" s="28">
        <v>17.039428571428573</v>
      </c>
      <c r="R64" s="28">
        <v>26.334095238095241</v>
      </c>
      <c r="S64" s="27">
        <v>100</v>
      </c>
      <c r="T64" s="29">
        <v>239.36</v>
      </c>
      <c r="U64" s="27">
        <v>176</v>
      </c>
      <c r="V64" s="27">
        <v>8</v>
      </c>
      <c r="W64" s="27">
        <v>79</v>
      </c>
      <c r="X64" s="29">
        <v>185</v>
      </c>
      <c r="Y64" s="27" t="s">
        <v>186</v>
      </c>
      <c r="Z64" s="27" t="s">
        <v>186</v>
      </c>
      <c r="AA64" s="29">
        <v>3</v>
      </c>
      <c r="AB64" s="29">
        <v>8</v>
      </c>
      <c r="AC64" s="29" t="s">
        <v>386</v>
      </c>
      <c r="AD64" s="29" t="s">
        <v>386</v>
      </c>
      <c r="AE64" s="29" t="s">
        <v>386</v>
      </c>
      <c r="AF64" s="29" t="s">
        <v>386</v>
      </c>
      <c r="AG64" s="27">
        <v>11</v>
      </c>
      <c r="AH64" s="27">
        <v>0</v>
      </c>
      <c r="AI64" s="27">
        <v>0</v>
      </c>
      <c r="AJ64" s="23" t="s">
        <v>184</v>
      </c>
      <c r="AK64" s="23" t="s">
        <v>208</v>
      </c>
      <c r="AL64" s="30">
        <v>11</v>
      </c>
      <c r="AM64" s="23"/>
      <c r="AN64" s="31" t="s">
        <v>219</v>
      </c>
      <c r="AO64" s="23" t="s">
        <v>213</v>
      </c>
      <c r="AP64" s="23" t="s">
        <v>89</v>
      </c>
      <c r="AQ64" s="34">
        <v>4015.01</v>
      </c>
      <c r="AR64" s="23" t="s">
        <v>78</v>
      </c>
      <c r="AS64" s="23">
        <v>40</v>
      </c>
      <c r="AT64" s="23">
        <v>15</v>
      </c>
      <c r="AU64" s="23">
        <v>1</v>
      </c>
    </row>
    <row r="65" spans="1:47">
      <c r="A65" s="26" t="s">
        <v>208</v>
      </c>
      <c r="B65" s="23">
        <v>12</v>
      </c>
      <c r="C65" s="23">
        <v>2</v>
      </c>
      <c r="D65" s="23"/>
      <c r="E65" s="23" t="s">
        <v>60</v>
      </c>
      <c r="F65" s="23" t="s">
        <v>200</v>
      </c>
      <c r="G65" s="27">
        <v>2004</v>
      </c>
      <c r="H65" s="27">
        <v>20</v>
      </c>
      <c r="I65" s="27">
        <v>25</v>
      </c>
      <c r="J65" s="27">
        <v>20</v>
      </c>
      <c r="K65" s="27">
        <v>5</v>
      </c>
      <c r="L65" s="27">
        <v>10</v>
      </c>
      <c r="M65" s="27"/>
      <c r="N65" s="27"/>
      <c r="O65" s="27"/>
      <c r="P65" s="28">
        <v>15</v>
      </c>
      <c r="Q65" s="28">
        <v>18.763428571428573</v>
      </c>
      <c r="R65" s="28">
        <v>28.955428571428577</v>
      </c>
      <c r="S65" s="27">
        <v>110</v>
      </c>
      <c r="T65" s="29">
        <v>263.84000000000003</v>
      </c>
      <c r="U65" s="27">
        <v>194</v>
      </c>
      <c r="V65" s="27">
        <v>9</v>
      </c>
      <c r="W65" s="27">
        <v>90</v>
      </c>
      <c r="X65" s="29">
        <v>185</v>
      </c>
      <c r="Y65" s="27" t="s">
        <v>69</v>
      </c>
      <c r="Z65" s="27" t="s">
        <v>69</v>
      </c>
      <c r="AA65" s="29">
        <v>4</v>
      </c>
      <c r="AB65" s="29">
        <v>8</v>
      </c>
      <c r="AC65" s="29" t="s">
        <v>386</v>
      </c>
      <c r="AD65" s="29" t="s">
        <v>386</v>
      </c>
      <c r="AE65" s="29" t="s">
        <v>386</v>
      </c>
      <c r="AF65" s="29" t="s">
        <v>386</v>
      </c>
      <c r="AG65" s="27">
        <v>12</v>
      </c>
      <c r="AH65" s="27">
        <v>0</v>
      </c>
      <c r="AI65" s="27">
        <v>0</v>
      </c>
      <c r="AJ65" s="23" t="s">
        <v>184</v>
      </c>
      <c r="AK65" s="23" t="s">
        <v>208</v>
      </c>
      <c r="AL65" s="30">
        <v>12</v>
      </c>
      <c r="AM65" s="23"/>
      <c r="AN65" s="31" t="s">
        <v>219</v>
      </c>
      <c r="AO65" s="23" t="s">
        <v>66</v>
      </c>
      <c r="AP65" s="23" t="s">
        <v>89</v>
      </c>
      <c r="AQ65" s="34">
        <v>4016</v>
      </c>
      <c r="AR65" s="23" t="s">
        <v>78</v>
      </c>
      <c r="AS65" s="23">
        <v>40</v>
      </c>
      <c r="AT65" s="23">
        <v>16</v>
      </c>
      <c r="AU65" s="23">
        <v>0</v>
      </c>
    </row>
    <row r="66" spans="1:47">
      <c r="A66" s="26" t="s">
        <v>165</v>
      </c>
      <c r="B66" s="23" t="s">
        <v>167</v>
      </c>
      <c r="C66" s="23">
        <v>2</v>
      </c>
      <c r="D66" s="23"/>
      <c r="E66" s="23" t="s">
        <v>60</v>
      </c>
      <c r="F66" s="23" t="s">
        <v>169</v>
      </c>
      <c r="G66" s="27">
        <v>2012</v>
      </c>
      <c r="H66" s="27">
        <v>20</v>
      </c>
      <c r="I66" s="27">
        <v>25</v>
      </c>
      <c r="J66" s="27">
        <v>20</v>
      </c>
      <c r="K66" s="27">
        <v>6</v>
      </c>
      <c r="L66" s="27">
        <v>10</v>
      </c>
      <c r="M66" s="27"/>
      <c r="N66" s="27"/>
      <c r="O66" s="27"/>
      <c r="P66" s="28">
        <v>16</v>
      </c>
      <c r="Q66" s="28">
        <v>19.922857142857143</v>
      </c>
      <c r="R66" s="28">
        <v>31.136190476190475</v>
      </c>
      <c r="S66" s="27">
        <v>120</v>
      </c>
      <c r="T66" s="29">
        <v>285.60000000000002</v>
      </c>
      <c r="U66" s="27">
        <v>210</v>
      </c>
      <c r="V66" s="27">
        <v>9</v>
      </c>
      <c r="W66" s="27">
        <v>80</v>
      </c>
      <c r="X66" s="29">
        <v>185</v>
      </c>
      <c r="Y66" s="27" t="s">
        <v>69</v>
      </c>
      <c r="Z66" s="27" t="s">
        <v>69</v>
      </c>
      <c r="AA66" s="29">
        <v>4</v>
      </c>
      <c r="AB66" s="29">
        <v>8</v>
      </c>
      <c r="AC66" s="29" t="s">
        <v>386</v>
      </c>
      <c r="AD66" s="29" t="s">
        <v>386</v>
      </c>
      <c r="AE66" s="29" t="s">
        <v>386</v>
      </c>
      <c r="AF66" s="29" t="s">
        <v>386</v>
      </c>
      <c r="AG66" s="27">
        <v>12</v>
      </c>
      <c r="AH66" s="27">
        <v>0</v>
      </c>
      <c r="AI66" s="27">
        <v>0</v>
      </c>
      <c r="AJ66" s="23" t="s">
        <v>184</v>
      </c>
      <c r="AK66" s="23" t="s">
        <v>165</v>
      </c>
      <c r="AL66" s="30"/>
      <c r="AM66" s="30" t="s">
        <v>173</v>
      </c>
      <c r="AN66" s="31" t="s">
        <v>219</v>
      </c>
      <c r="AO66" s="23" t="s">
        <v>66</v>
      </c>
      <c r="AP66" s="23" t="s">
        <v>89</v>
      </c>
      <c r="AQ66" s="34">
        <v>4017</v>
      </c>
      <c r="AR66" s="23" t="s">
        <v>78</v>
      </c>
      <c r="AS66" s="23">
        <v>40</v>
      </c>
      <c r="AT66" s="23">
        <v>17</v>
      </c>
      <c r="AU66" s="23">
        <v>0</v>
      </c>
    </row>
    <row r="67" spans="1:47">
      <c r="A67" s="26" t="s">
        <v>207</v>
      </c>
      <c r="B67" s="23">
        <v>9.5</v>
      </c>
      <c r="C67" s="23">
        <v>2</v>
      </c>
      <c r="D67" s="23"/>
      <c r="E67" s="23" t="s">
        <v>60</v>
      </c>
      <c r="F67" s="23" t="s">
        <v>194</v>
      </c>
      <c r="G67" s="27">
        <v>2000</v>
      </c>
      <c r="H67" s="27">
        <v>20</v>
      </c>
      <c r="I67" s="27">
        <v>25</v>
      </c>
      <c r="J67" s="27">
        <v>20</v>
      </c>
      <c r="K67" s="27">
        <v>5</v>
      </c>
      <c r="L67" s="27">
        <v>5</v>
      </c>
      <c r="M67" s="27"/>
      <c r="N67" s="27"/>
      <c r="O67" s="27"/>
      <c r="P67" s="28">
        <v>10</v>
      </c>
      <c r="Q67" s="28">
        <v>16.682285714285715</v>
      </c>
      <c r="R67" s="28">
        <v>25.870285714285714</v>
      </c>
      <c r="S67" s="27">
        <v>100</v>
      </c>
      <c r="T67" s="29">
        <v>239.36</v>
      </c>
      <c r="U67" s="27">
        <v>176</v>
      </c>
      <c r="V67" s="27">
        <v>8</v>
      </c>
      <c r="W67" s="27">
        <v>63</v>
      </c>
      <c r="X67" s="29">
        <v>150</v>
      </c>
      <c r="Y67" s="27" t="s">
        <v>69</v>
      </c>
      <c r="Z67" s="27" t="s">
        <v>69</v>
      </c>
      <c r="AA67" s="29">
        <v>2</v>
      </c>
      <c r="AB67" s="29">
        <v>8</v>
      </c>
      <c r="AC67" s="29" t="s">
        <v>386</v>
      </c>
      <c r="AD67" s="29" t="s">
        <v>386</v>
      </c>
      <c r="AE67" s="29" t="s">
        <v>386</v>
      </c>
      <c r="AF67" s="29" t="s">
        <v>386</v>
      </c>
      <c r="AG67" s="27">
        <v>10</v>
      </c>
      <c r="AH67" s="27">
        <v>0</v>
      </c>
      <c r="AI67" s="27">
        <v>0</v>
      </c>
      <c r="AJ67" s="23" t="s">
        <v>184</v>
      </c>
      <c r="AK67" s="23" t="s">
        <v>207</v>
      </c>
      <c r="AL67" s="30">
        <v>9.5</v>
      </c>
      <c r="AM67" s="23"/>
      <c r="AN67" s="31" t="s">
        <v>219</v>
      </c>
      <c r="AO67" s="23" t="s">
        <v>212</v>
      </c>
      <c r="AP67" s="23" t="s">
        <v>211</v>
      </c>
      <c r="AQ67" s="34">
        <v>4018</v>
      </c>
      <c r="AR67" s="23" t="s">
        <v>78</v>
      </c>
      <c r="AS67" s="23">
        <v>40</v>
      </c>
      <c r="AT67" s="23">
        <v>18</v>
      </c>
      <c r="AU67" s="23">
        <v>0</v>
      </c>
    </row>
    <row r="68" spans="1:47">
      <c r="A68" s="26" t="s">
        <v>207</v>
      </c>
      <c r="B68" s="23">
        <v>11</v>
      </c>
      <c r="C68" s="23">
        <v>2</v>
      </c>
      <c r="D68" s="23"/>
      <c r="E68" s="23" t="s">
        <v>60</v>
      </c>
      <c r="F68" s="23" t="s">
        <v>199</v>
      </c>
      <c r="G68" s="27">
        <v>2001</v>
      </c>
      <c r="H68" s="27">
        <v>20</v>
      </c>
      <c r="I68" s="27">
        <v>25</v>
      </c>
      <c r="J68" s="27">
        <v>20</v>
      </c>
      <c r="K68" s="27">
        <v>5</v>
      </c>
      <c r="L68" s="27">
        <v>5</v>
      </c>
      <c r="M68" s="27"/>
      <c r="N68" s="27"/>
      <c r="O68" s="27"/>
      <c r="P68" s="28">
        <v>10</v>
      </c>
      <c r="Q68" s="28">
        <v>16.682285714285715</v>
      </c>
      <c r="R68" s="28">
        <v>25.903619047619049</v>
      </c>
      <c r="S68" s="27">
        <v>100</v>
      </c>
      <c r="T68" s="29">
        <v>239.36</v>
      </c>
      <c r="U68" s="27">
        <v>176</v>
      </c>
      <c r="V68" s="27">
        <v>8</v>
      </c>
      <c r="W68" s="27">
        <v>68</v>
      </c>
      <c r="X68" s="29">
        <v>150</v>
      </c>
      <c r="Y68" s="27" t="s">
        <v>69</v>
      </c>
      <c r="Z68" s="27" t="s">
        <v>69</v>
      </c>
      <c r="AA68" s="29">
        <v>3</v>
      </c>
      <c r="AB68" s="29">
        <v>8</v>
      </c>
      <c r="AC68" s="29" t="s">
        <v>386</v>
      </c>
      <c r="AD68" s="29" t="s">
        <v>386</v>
      </c>
      <c r="AE68" s="29" t="s">
        <v>386</v>
      </c>
      <c r="AF68" s="29" t="s">
        <v>386</v>
      </c>
      <c r="AG68" s="27">
        <v>11</v>
      </c>
      <c r="AH68" s="27">
        <v>0</v>
      </c>
      <c r="AI68" s="27">
        <v>0</v>
      </c>
      <c r="AJ68" s="23" t="s">
        <v>184</v>
      </c>
      <c r="AK68" s="23" t="s">
        <v>207</v>
      </c>
      <c r="AL68" s="30">
        <v>11</v>
      </c>
      <c r="AM68" s="23"/>
      <c r="AN68" s="31" t="s">
        <v>219</v>
      </c>
      <c r="AO68" s="23" t="s">
        <v>213</v>
      </c>
      <c r="AP68" s="23" t="s">
        <v>211</v>
      </c>
      <c r="AQ68" s="34">
        <v>4019</v>
      </c>
      <c r="AR68" s="23" t="s">
        <v>78</v>
      </c>
      <c r="AS68" s="23">
        <v>40</v>
      </c>
      <c r="AT68" s="23">
        <v>19</v>
      </c>
      <c r="AU68" s="23">
        <v>0</v>
      </c>
    </row>
    <row r="69" spans="1:47">
      <c r="A69" s="26" t="s">
        <v>207</v>
      </c>
      <c r="B69" s="23">
        <v>12</v>
      </c>
      <c r="C69" s="23">
        <v>2</v>
      </c>
      <c r="D69" s="23"/>
      <c r="E69" s="23" t="s">
        <v>60</v>
      </c>
      <c r="F69" s="23" t="s">
        <v>201</v>
      </c>
      <c r="G69" s="27">
        <v>2005</v>
      </c>
      <c r="H69" s="27">
        <v>20</v>
      </c>
      <c r="I69" s="27">
        <v>25</v>
      </c>
      <c r="J69" s="27">
        <v>20</v>
      </c>
      <c r="K69" s="27">
        <v>5</v>
      </c>
      <c r="L69" s="27">
        <v>5</v>
      </c>
      <c r="M69" s="27"/>
      <c r="N69" s="27"/>
      <c r="O69" s="27"/>
      <c r="P69" s="28">
        <v>10</v>
      </c>
      <c r="Q69" s="28">
        <v>18.406285714285715</v>
      </c>
      <c r="R69" s="28">
        <v>28.538285714285717</v>
      </c>
      <c r="S69" s="27">
        <v>110</v>
      </c>
      <c r="T69" s="29">
        <v>263.84000000000003</v>
      </c>
      <c r="U69" s="27">
        <v>194</v>
      </c>
      <c r="V69" s="27">
        <v>9</v>
      </c>
      <c r="W69" s="27">
        <v>81</v>
      </c>
      <c r="X69" s="29">
        <v>150</v>
      </c>
      <c r="Y69" s="27" t="s">
        <v>69</v>
      </c>
      <c r="Z69" s="27" t="s">
        <v>69</v>
      </c>
      <c r="AA69" s="29">
        <v>4</v>
      </c>
      <c r="AB69" s="29">
        <v>8</v>
      </c>
      <c r="AC69" s="29" t="s">
        <v>386</v>
      </c>
      <c r="AD69" s="29" t="s">
        <v>386</v>
      </c>
      <c r="AE69" s="29" t="s">
        <v>386</v>
      </c>
      <c r="AF69" s="29" t="s">
        <v>386</v>
      </c>
      <c r="AG69" s="27">
        <v>12</v>
      </c>
      <c r="AH69" s="27">
        <v>0</v>
      </c>
      <c r="AI69" s="27">
        <v>0</v>
      </c>
      <c r="AJ69" s="23" t="s">
        <v>184</v>
      </c>
      <c r="AK69" s="23" t="s">
        <v>207</v>
      </c>
      <c r="AL69" s="30">
        <v>12</v>
      </c>
      <c r="AM69" s="23"/>
      <c r="AN69" s="31" t="s">
        <v>219</v>
      </c>
      <c r="AO69" s="23" t="s">
        <v>66</v>
      </c>
      <c r="AP69" s="23" t="s">
        <v>211</v>
      </c>
      <c r="AQ69" s="34">
        <v>4020</v>
      </c>
      <c r="AR69" s="23" t="s">
        <v>78</v>
      </c>
      <c r="AS69" s="23">
        <v>40</v>
      </c>
      <c r="AT69" s="23">
        <v>20</v>
      </c>
      <c r="AU69" s="23">
        <v>0</v>
      </c>
    </row>
    <row r="70" spans="1:47">
      <c r="A70" s="26" t="s">
        <v>165</v>
      </c>
      <c r="B70" s="23" t="s">
        <v>168</v>
      </c>
      <c r="C70" s="23">
        <v>2</v>
      </c>
      <c r="D70" s="23"/>
      <c r="E70" s="23" t="s">
        <v>60</v>
      </c>
      <c r="F70" s="23" t="s">
        <v>170</v>
      </c>
      <c r="G70" s="27">
        <v>2012</v>
      </c>
      <c r="H70" s="27">
        <v>20</v>
      </c>
      <c r="I70" s="27">
        <v>25</v>
      </c>
      <c r="J70" s="27">
        <v>20</v>
      </c>
      <c r="K70" s="27">
        <v>6</v>
      </c>
      <c r="L70" s="27">
        <v>5</v>
      </c>
      <c r="M70" s="27"/>
      <c r="N70" s="27"/>
      <c r="O70" s="27"/>
      <c r="P70" s="28">
        <v>11</v>
      </c>
      <c r="Q70" s="28">
        <v>19.565714285714286</v>
      </c>
      <c r="R70" s="28">
        <v>30.785714285714285</v>
      </c>
      <c r="S70" s="27">
        <v>120</v>
      </c>
      <c r="T70" s="29">
        <v>285.60000000000002</v>
      </c>
      <c r="U70" s="27">
        <v>210</v>
      </c>
      <c r="V70" s="27">
        <v>9</v>
      </c>
      <c r="W70" s="27">
        <v>81</v>
      </c>
      <c r="X70" s="29">
        <v>150</v>
      </c>
      <c r="Y70" s="27" t="s">
        <v>69</v>
      </c>
      <c r="Z70" s="27" t="s">
        <v>69</v>
      </c>
      <c r="AA70" s="29">
        <v>4</v>
      </c>
      <c r="AB70" s="29">
        <v>8</v>
      </c>
      <c r="AC70" s="29" t="s">
        <v>386</v>
      </c>
      <c r="AD70" s="29" t="s">
        <v>386</v>
      </c>
      <c r="AE70" s="29" t="s">
        <v>386</v>
      </c>
      <c r="AF70" s="29" t="s">
        <v>386</v>
      </c>
      <c r="AG70" s="27">
        <v>12</v>
      </c>
      <c r="AH70" s="27">
        <v>0</v>
      </c>
      <c r="AI70" s="27">
        <v>0</v>
      </c>
      <c r="AJ70" s="23" t="s">
        <v>184</v>
      </c>
      <c r="AK70" s="23" t="s">
        <v>165</v>
      </c>
      <c r="AL70" s="30"/>
      <c r="AM70" s="30" t="s">
        <v>174</v>
      </c>
      <c r="AN70" s="31" t="s">
        <v>219</v>
      </c>
      <c r="AO70" s="23" t="s">
        <v>66</v>
      </c>
      <c r="AP70" s="23" t="s">
        <v>211</v>
      </c>
      <c r="AQ70" s="34">
        <v>4021</v>
      </c>
      <c r="AR70" s="23" t="s">
        <v>78</v>
      </c>
      <c r="AS70" s="23">
        <v>40</v>
      </c>
      <c r="AT70" s="23">
        <v>21</v>
      </c>
      <c r="AU70" s="23">
        <v>0</v>
      </c>
    </row>
    <row r="71" spans="1:47">
      <c r="A71" s="26" t="s">
        <v>206</v>
      </c>
      <c r="B71" s="23" t="s">
        <v>203</v>
      </c>
      <c r="C71" s="23">
        <v>2</v>
      </c>
      <c r="D71" s="23"/>
      <c r="E71" s="23" t="s">
        <v>60</v>
      </c>
      <c r="F71" s="23" t="s">
        <v>202</v>
      </c>
      <c r="G71" s="27">
        <v>2005</v>
      </c>
      <c r="H71" s="27">
        <v>20</v>
      </c>
      <c r="I71" s="27">
        <v>25</v>
      </c>
      <c r="J71" s="27">
        <v>20</v>
      </c>
      <c r="K71" s="27">
        <v>5</v>
      </c>
      <c r="L71" s="27">
        <v>5</v>
      </c>
      <c r="M71" s="27"/>
      <c r="N71" s="27"/>
      <c r="O71" s="27"/>
      <c r="P71" s="28">
        <v>10</v>
      </c>
      <c r="Q71" s="28">
        <v>17.182285714285715</v>
      </c>
      <c r="R71" s="28">
        <v>25.77695238095238</v>
      </c>
      <c r="S71" s="27">
        <v>100</v>
      </c>
      <c r="T71" s="29">
        <v>239.36</v>
      </c>
      <c r="U71" s="27">
        <v>176</v>
      </c>
      <c r="V71" s="27">
        <v>9</v>
      </c>
      <c r="W71" s="27">
        <v>34</v>
      </c>
      <c r="X71" s="29">
        <v>100</v>
      </c>
      <c r="Y71" s="27" t="s">
        <v>69</v>
      </c>
      <c r="Z71" s="27" t="s">
        <v>69</v>
      </c>
      <c r="AA71" s="29">
        <v>2</v>
      </c>
      <c r="AB71" s="29">
        <v>8</v>
      </c>
      <c r="AC71" s="29" t="s">
        <v>386</v>
      </c>
      <c r="AD71" s="29" t="s">
        <v>386</v>
      </c>
      <c r="AE71" s="29" t="s">
        <v>386</v>
      </c>
      <c r="AF71" s="29" t="s">
        <v>386</v>
      </c>
      <c r="AG71" s="27">
        <v>10</v>
      </c>
      <c r="AH71" s="27">
        <v>0</v>
      </c>
      <c r="AI71" s="27">
        <v>0</v>
      </c>
      <c r="AJ71" s="23" t="s">
        <v>184</v>
      </c>
      <c r="AK71" s="23" t="s">
        <v>209</v>
      </c>
      <c r="AL71" s="30">
        <v>9.5</v>
      </c>
      <c r="AM71" s="23"/>
      <c r="AN71" s="31" t="s">
        <v>219</v>
      </c>
      <c r="AO71" s="23" t="s">
        <v>212</v>
      </c>
      <c r="AP71" s="23" t="s">
        <v>214</v>
      </c>
      <c r="AQ71" s="34">
        <v>4022</v>
      </c>
      <c r="AR71" s="23" t="s">
        <v>78</v>
      </c>
      <c r="AS71" s="23">
        <v>40</v>
      </c>
      <c r="AT71" s="23">
        <v>22</v>
      </c>
      <c r="AU71" s="23">
        <v>0</v>
      </c>
    </row>
    <row r="72" spans="1:47">
      <c r="A72" s="26" t="s">
        <v>206</v>
      </c>
      <c r="B72" s="23" t="s">
        <v>204</v>
      </c>
      <c r="C72" s="23">
        <v>2</v>
      </c>
      <c r="D72" s="23"/>
      <c r="E72" s="23" t="s">
        <v>60</v>
      </c>
      <c r="F72" s="23" t="s">
        <v>197</v>
      </c>
      <c r="G72" s="27">
        <v>2003</v>
      </c>
      <c r="H72" s="27">
        <v>20</v>
      </c>
      <c r="I72" s="27">
        <v>25</v>
      </c>
      <c r="J72" s="27">
        <v>20</v>
      </c>
      <c r="K72" s="27">
        <v>5</v>
      </c>
      <c r="L72" s="27">
        <v>5</v>
      </c>
      <c r="M72" s="27"/>
      <c r="N72" s="27"/>
      <c r="O72" s="27"/>
      <c r="P72" s="28">
        <v>10</v>
      </c>
      <c r="Q72" s="28">
        <v>17.182285714285715</v>
      </c>
      <c r="R72" s="28">
        <v>25.850285714285718</v>
      </c>
      <c r="S72" s="27">
        <v>100</v>
      </c>
      <c r="T72" s="29">
        <v>239.36</v>
      </c>
      <c r="U72" s="27">
        <v>176</v>
      </c>
      <c r="V72" s="27">
        <v>9</v>
      </c>
      <c r="W72" s="27">
        <v>45</v>
      </c>
      <c r="X72" s="29">
        <v>100</v>
      </c>
      <c r="Y72" s="27" t="s">
        <v>69</v>
      </c>
      <c r="Z72" s="27" t="s">
        <v>69</v>
      </c>
      <c r="AA72" s="29">
        <v>3</v>
      </c>
      <c r="AB72" s="29">
        <v>8</v>
      </c>
      <c r="AC72" s="29" t="s">
        <v>386</v>
      </c>
      <c r="AD72" s="29" t="s">
        <v>386</v>
      </c>
      <c r="AE72" s="29" t="s">
        <v>386</v>
      </c>
      <c r="AF72" s="29" t="s">
        <v>386</v>
      </c>
      <c r="AG72" s="27">
        <v>11</v>
      </c>
      <c r="AH72" s="27">
        <v>0</v>
      </c>
      <c r="AI72" s="27">
        <v>0</v>
      </c>
      <c r="AJ72" s="23" t="s">
        <v>184</v>
      </c>
      <c r="AK72" s="23" t="s">
        <v>209</v>
      </c>
      <c r="AL72" s="30">
        <v>11</v>
      </c>
      <c r="AM72" s="23"/>
      <c r="AN72" s="31" t="s">
        <v>219</v>
      </c>
      <c r="AO72" s="23" t="s">
        <v>213</v>
      </c>
      <c r="AP72" s="23" t="s">
        <v>214</v>
      </c>
      <c r="AQ72" s="34">
        <v>4023</v>
      </c>
      <c r="AR72" s="23" t="s">
        <v>78</v>
      </c>
      <c r="AS72" s="23">
        <v>40</v>
      </c>
      <c r="AT72" s="23">
        <v>23</v>
      </c>
      <c r="AU72" s="23">
        <v>0</v>
      </c>
    </row>
    <row r="73" spans="1:47">
      <c r="A73" s="26" t="s">
        <v>209</v>
      </c>
      <c r="B73" s="23">
        <v>12</v>
      </c>
      <c r="C73" s="23">
        <v>2</v>
      </c>
      <c r="D73" s="23"/>
      <c r="E73" s="23" t="s">
        <v>60</v>
      </c>
      <c r="F73" s="23" t="s">
        <v>210</v>
      </c>
      <c r="G73" s="27">
        <v>2008</v>
      </c>
      <c r="H73" s="27">
        <v>20</v>
      </c>
      <c r="I73" s="27">
        <v>25</v>
      </c>
      <c r="J73" s="27">
        <v>20</v>
      </c>
      <c r="K73" s="27">
        <v>5</v>
      </c>
      <c r="L73" s="27">
        <v>5</v>
      </c>
      <c r="M73" s="27"/>
      <c r="N73" s="27"/>
      <c r="O73" s="27"/>
      <c r="P73" s="28">
        <v>10</v>
      </c>
      <c r="Q73" s="28">
        <v>18.906285714285715</v>
      </c>
      <c r="R73" s="28">
        <v>28.438285714285715</v>
      </c>
      <c r="S73" s="27">
        <v>110</v>
      </c>
      <c r="T73" s="29">
        <v>263.84000000000003</v>
      </c>
      <c r="U73" s="27">
        <v>194</v>
      </c>
      <c r="V73" s="27">
        <v>10</v>
      </c>
      <c r="W73" s="27">
        <v>51</v>
      </c>
      <c r="X73" s="29">
        <v>100</v>
      </c>
      <c r="Y73" s="27" t="s">
        <v>69</v>
      </c>
      <c r="Z73" s="27" t="s">
        <v>69</v>
      </c>
      <c r="AA73" s="29">
        <v>4</v>
      </c>
      <c r="AB73" s="29">
        <v>8</v>
      </c>
      <c r="AC73" s="29" t="s">
        <v>386</v>
      </c>
      <c r="AD73" s="29" t="s">
        <v>386</v>
      </c>
      <c r="AE73" s="29" t="s">
        <v>386</v>
      </c>
      <c r="AF73" s="29" t="s">
        <v>386</v>
      </c>
      <c r="AG73" s="27">
        <v>12</v>
      </c>
      <c r="AH73" s="27">
        <v>0</v>
      </c>
      <c r="AI73" s="27">
        <v>0</v>
      </c>
      <c r="AJ73" s="23" t="s">
        <v>184</v>
      </c>
      <c r="AK73" s="23" t="s">
        <v>209</v>
      </c>
      <c r="AL73" s="30">
        <v>12</v>
      </c>
      <c r="AM73" s="23"/>
      <c r="AN73" s="31" t="s">
        <v>219</v>
      </c>
      <c r="AO73" s="23" t="s">
        <v>66</v>
      </c>
      <c r="AP73" s="23" t="s">
        <v>214</v>
      </c>
      <c r="AQ73" s="34">
        <v>4024</v>
      </c>
      <c r="AR73" s="23" t="s">
        <v>78</v>
      </c>
      <c r="AS73" s="23">
        <v>40</v>
      </c>
      <c r="AT73" s="23">
        <v>24</v>
      </c>
      <c r="AU73" s="23">
        <v>0</v>
      </c>
    </row>
    <row r="74" spans="1:47">
      <c r="A74" s="26" t="s">
        <v>166</v>
      </c>
      <c r="B74" s="23">
        <v>10</v>
      </c>
      <c r="C74" s="23">
        <v>2</v>
      </c>
      <c r="D74" s="23"/>
      <c r="E74" s="23" t="s">
        <v>60</v>
      </c>
      <c r="F74" s="23" t="s">
        <v>172</v>
      </c>
      <c r="G74" s="27">
        <v>2016</v>
      </c>
      <c r="H74" s="27">
        <v>20</v>
      </c>
      <c r="I74" s="27">
        <v>25</v>
      </c>
      <c r="J74" s="27">
        <v>20</v>
      </c>
      <c r="K74" s="27">
        <v>6</v>
      </c>
      <c r="L74" s="27">
        <v>5</v>
      </c>
      <c r="M74" s="27"/>
      <c r="N74" s="27"/>
      <c r="O74" s="27"/>
      <c r="P74" s="28">
        <v>11</v>
      </c>
      <c r="Q74" s="28">
        <v>21.265714285714285</v>
      </c>
      <c r="R74" s="28">
        <v>34.032380952380954</v>
      </c>
      <c r="S74" s="27">
        <v>120</v>
      </c>
      <c r="T74" s="29">
        <v>319.60000000000002</v>
      </c>
      <c r="U74" s="27">
        <v>235</v>
      </c>
      <c r="V74" s="27">
        <v>9</v>
      </c>
      <c r="W74" s="27">
        <v>58</v>
      </c>
      <c r="X74" s="29">
        <v>100</v>
      </c>
      <c r="Y74" s="27" t="s">
        <v>69</v>
      </c>
      <c r="Z74" s="27" t="s">
        <v>69</v>
      </c>
      <c r="AA74" s="29">
        <v>2</v>
      </c>
      <c r="AB74" s="29">
        <v>8</v>
      </c>
      <c r="AC74" s="29" t="s">
        <v>386</v>
      </c>
      <c r="AD74" s="29" t="s">
        <v>386</v>
      </c>
      <c r="AE74" s="29" t="s">
        <v>386</v>
      </c>
      <c r="AF74" s="29" t="s">
        <v>386</v>
      </c>
      <c r="AG74" s="27">
        <v>10</v>
      </c>
      <c r="AH74" s="27">
        <v>0</v>
      </c>
      <c r="AI74" s="27">
        <v>0</v>
      </c>
      <c r="AJ74" s="23" t="s">
        <v>184</v>
      </c>
      <c r="AK74" s="23" t="s">
        <v>166</v>
      </c>
      <c r="AL74" s="30"/>
      <c r="AM74" s="23">
        <v>10</v>
      </c>
      <c r="AN74" s="31" t="s">
        <v>219</v>
      </c>
      <c r="AO74" s="23" t="s">
        <v>67</v>
      </c>
      <c r="AP74" s="23" t="s">
        <v>214</v>
      </c>
      <c r="AQ74" s="34">
        <v>4025</v>
      </c>
      <c r="AR74" s="23" t="s">
        <v>78</v>
      </c>
      <c r="AS74" s="23">
        <v>40</v>
      </c>
      <c r="AT74" s="23">
        <v>25</v>
      </c>
      <c r="AU74" s="23">
        <v>0</v>
      </c>
    </row>
    <row r="75" spans="1:47">
      <c r="A75" s="26" t="s">
        <v>166</v>
      </c>
      <c r="B75" s="23">
        <v>12</v>
      </c>
      <c r="C75" s="23">
        <v>2</v>
      </c>
      <c r="D75" s="23"/>
      <c r="E75" s="23" t="s">
        <v>60</v>
      </c>
      <c r="F75" s="23" t="s">
        <v>171</v>
      </c>
      <c r="G75" s="27">
        <v>2012</v>
      </c>
      <c r="H75" s="27">
        <v>20</v>
      </c>
      <c r="I75" s="27">
        <v>25</v>
      </c>
      <c r="J75" s="27">
        <v>20</v>
      </c>
      <c r="K75" s="27">
        <v>6</v>
      </c>
      <c r="L75" s="27">
        <v>5</v>
      </c>
      <c r="M75" s="27"/>
      <c r="N75" s="27"/>
      <c r="O75" s="27"/>
      <c r="P75" s="28">
        <v>11</v>
      </c>
      <c r="Q75" s="28">
        <v>21.765714285714285</v>
      </c>
      <c r="R75" s="28">
        <v>34.272380952380949</v>
      </c>
      <c r="S75" s="27">
        <v>120</v>
      </c>
      <c r="T75" s="29">
        <v>319.60000000000002</v>
      </c>
      <c r="U75" s="27">
        <v>235</v>
      </c>
      <c r="V75" s="27">
        <v>10</v>
      </c>
      <c r="W75" s="27">
        <v>79</v>
      </c>
      <c r="X75" s="29">
        <v>100</v>
      </c>
      <c r="Y75" s="27" t="s">
        <v>69</v>
      </c>
      <c r="Z75" s="27" t="s">
        <v>69</v>
      </c>
      <c r="AA75" s="29">
        <v>4</v>
      </c>
      <c r="AB75" s="29">
        <v>8</v>
      </c>
      <c r="AC75" s="29" t="s">
        <v>386</v>
      </c>
      <c r="AD75" s="29" t="s">
        <v>386</v>
      </c>
      <c r="AE75" s="29" t="s">
        <v>386</v>
      </c>
      <c r="AF75" s="29" t="s">
        <v>386</v>
      </c>
      <c r="AG75" s="27">
        <v>12</v>
      </c>
      <c r="AH75" s="27">
        <v>0</v>
      </c>
      <c r="AI75" s="27">
        <v>0</v>
      </c>
      <c r="AJ75" s="23" t="s">
        <v>184</v>
      </c>
      <c r="AK75" s="23" t="s">
        <v>166</v>
      </c>
      <c r="AL75" s="30"/>
      <c r="AM75" s="23">
        <v>12</v>
      </c>
      <c r="AN75" s="31" t="s">
        <v>219</v>
      </c>
      <c r="AO75" s="23" t="s">
        <v>66</v>
      </c>
      <c r="AP75" s="23" t="s">
        <v>214</v>
      </c>
      <c r="AQ75" s="34">
        <v>4026</v>
      </c>
      <c r="AR75" s="23" t="s">
        <v>78</v>
      </c>
      <c r="AS75" s="23">
        <v>40</v>
      </c>
      <c r="AT75" s="23">
        <v>26</v>
      </c>
      <c r="AU75" s="23">
        <v>0</v>
      </c>
    </row>
    <row r="76" spans="1:47">
      <c r="A76" s="26" t="s">
        <v>228</v>
      </c>
      <c r="B76" s="23" t="s">
        <v>55</v>
      </c>
      <c r="C76" s="23">
        <v>3</v>
      </c>
      <c r="D76" s="23"/>
      <c r="E76" s="23" t="s">
        <v>60</v>
      </c>
      <c r="F76" s="23" t="s">
        <v>288</v>
      </c>
      <c r="G76" s="27">
        <v>2003</v>
      </c>
      <c r="H76" s="27">
        <v>20</v>
      </c>
      <c r="I76" s="27">
        <v>25</v>
      </c>
      <c r="J76" s="27">
        <v>20</v>
      </c>
      <c r="K76" s="27">
        <v>10</v>
      </c>
      <c r="L76" s="27">
        <v>10</v>
      </c>
      <c r="M76" s="27">
        <v>10</v>
      </c>
      <c r="N76" s="27"/>
      <c r="O76" s="27"/>
      <c r="P76" s="28">
        <v>30</v>
      </c>
      <c r="Q76" s="28">
        <v>21.378857142857143</v>
      </c>
      <c r="R76" s="28">
        <v>31.421523809523812</v>
      </c>
      <c r="S76" s="27">
        <v>70</v>
      </c>
      <c r="T76" s="29">
        <v>274.72000000000003</v>
      </c>
      <c r="U76" s="27">
        <v>202</v>
      </c>
      <c r="V76" s="27">
        <v>11</v>
      </c>
      <c r="W76" s="27">
        <v>106</v>
      </c>
      <c r="X76" s="29">
        <v>200</v>
      </c>
      <c r="Y76" s="27" t="s">
        <v>69</v>
      </c>
      <c r="Z76" s="27" t="s">
        <v>69</v>
      </c>
      <c r="AA76" s="29">
        <v>5</v>
      </c>
      <c r="AB76" s="29">
        <v>8</v>
      </c>
      <c r="AC76" s="29" t="s">
        <v>386</v>
      </c>
      <c r="AD76" s="29" t="s">
        <v>386</v>
      </c>
      <c r="AE76" s="29" t="s">
        <v>386</v>
      </c>
      <c r="AF76" s="29" t="s">
        <v>386</v>
      </c>
      <c r="AG76" s="27">
        <v>13</v>
      </c>
      <c r="AH76" s="27">
        <v>0</v>
      </c>
      <c r="AI76" s="27">
        <v>0</v>
      </c>
      <c r="AJ76" s="23" t="s">
        <v>279</v>
      </c>
      <c r="AK76" s="23" t="s">
        <v>228</v>
      </c>
      <c r="AL76" s="30"/>
      <c r="AM76" s="23"/>
      <c r="AN76" s="31" t="s">
        <v>220</v>
      </c>
      <c r="AO76" s="23" t="s">
        <v>283</v>
      </c>
      <c r="AP76" s="23" t="s">
        <v>71</v>
      </c>
      <c r="AQ76" s="34">
        <v>4100</v>
      </c>
      <c r="AR76" s="23" t="s">
        <v>78</v>
      </c>
      <c r="AS76" s="23">
        <v>41</v>
      </c>
      <c r="AT76" s="23">
        <v>0</v>
      </c>
      <c r="AU76" s="23">
        <v>0</v>
      </c>
    </row>
    <row r="77" spans="1:47">
      <c r="A77" s="26" t="s">
        <v>228</v>
      </c>
      <c r="B77" s="23" t="s">
        <v>55</v>
      </c>
      <c r="C77" s="23">
        <v>3</v>
      </c>
      <c r="D77" s="23"/>
      <c r="E77" s="23" t="s">
        <v>60</v>
      </c>
      <c r="F77" s="23" t="s">
        <v>288</v>
      </c>
      <c r="G77" s="27">
        <v>2003</v>
      </c>
      <c r="H77" s="27">
        <v>20</v>
      </c>
      <c r="I77" s="27">
        <v>25</v>
      </c>
      <c r="J77" s="27">
        <v>20</v>
      </c>
      <c r="K77" s="27">
        <v>10</v>
      </c>
      <c r="L77" s="27">
        <v>10</v>
      </c>
      <c r="M77" s="27">
        <v>10</v>
      </c>
      <c r="N77" s="27"/>
      <c r="O77" s="27"/>
      <c r="P77" s="28">
        <v>30</v>
      </c>
      <c r="Q77" s="28">
        <v>21.378857142857143</v>
      </c>
      <c r="R77" s="28">
        <v>31.421523809523812</v>
      </c>
      <c r="S77" s="27">
        <v>70</v>
      </c>
      <c r="T77" s="29">
        <v>274.72000000000003</v>
      </c>
      <c r="U77" s="27">
        <v>202</v>
      </c>
      <c r="V77" s="27">
        <v>11</v>
      </c>
      <c r="W77" s="27">
        <v>106</v>
      </c>
      <c r="X77" s="29">
        <v>200</v>
      </c>
      <c r="Y77" s="27" t="s">
        <v>287</v>
      </c>
      <c r="Z77" s="27" t="s">
        <v>287</v>
      </c>
      <c r="AA77" s="29">
        <v>5</v>
      </c>
      <c r="AB77" s="29">
        <v>8</v>
      </c>
      <c r="AC77" s="29" t="s">
        <v>386</v>
      </c>
      <c r="AD77" s="29" t="s">
        <v>386</v>
      </c>
      <c r="AE77" s="29" t="s">
        <v>386</v>
      </c>
      <c r="AF77" s="29" t="s">
        <v>386</v>
      </c>
      <c r="AG77" s="27">
        <v>13</v>
      </c>
      <c r="AH77" s="27">
        <v>0</v>
      </c>
      <c r="AI77" s="27">
        <v>0</v>
      </c>
      <c r="AJ77" s="23" t="s">
        <v>279</v>
      </c>
      <c r="AK77" s="23" t="s">
        <v>228</v>
      </c>
      <c r="AL77" s="30"/>
      <c r="AM77" s="23"/>
      <c r="AN77" s="31" t="s">
        <v>220</v>
      </c>
      <c r="AO77" s="23" t="s">
        <v>283</v>
      </c>
      <c r="AP77" s="23" t="s">
        <v>71</v>
      </c>
      <c r="AQ77" s="34">
        <v>4100.01</v>
      </c>
      <c r="AR77" s="23" t="s">
        <v>191</v>
      </c>
      <c r="AS77" s="23">
        <v>41</v>
      </c>
      <c r="AT77" s="23">
        <v>0</v>
      </c>
      <c r="AU77" s="23">
        <v>1</v>
      </c>
    </row>
    <row r="78" spans="1:47">
      <c r="A78" s="26" t="s">
        <v>229</v>
      </c>
      <c r="B78" s="23" t="s">
        <v>55</v>
      </c>
      <c r="C78" s="23">
        <v>2</v>
      </c>
      <c r="D78" s="23"/>
      <c r="E78" s="23" t="s">
        <v>60</v>
      </c>
      <c r="F78" s="23" t="s">
        <v>289</v>
      </c>
      <c r="G78" s="27">
        <v>2003</v>
      </c>
      <c r="H78" s="27">
        <v>20</v>
      </c>
      <c r="I78" s="27">
        <v>25</v>
      </c>
      <c r="J78" s="27">
        <v>20</v>
      </c>
      <c r="K78" s="27">
        <v>5</v>
      </c>
      <c r="L78" s="27">
        <v>10</v>
      </c>
      <c r="M78" s="27"/>
      <c r="N78" s="27"/>
      <c r="O78" s="27"/>
      <c r="P78" s="28">
        <v>15</v>
      </c>
      <c r="Q78" s="28">
        <v>23.571428571428573</v>
      </c>
      <c r="R78" s="28">
        <v>36.878095238095234</v>
      </c>
      <c r="S78" s="27">
        <v>90</v>
      </c>
      <c r="T78" s="29">
        <v>340</v>
      </c>
      <c r="U78" s="27">
        <v>250</v>
      </c>
      <c r="V78" s="27">
        <v>11</v>
      </c>
      <c r="W78" s="27">
        <v>106</v>
      </c>
      <c r="X78" s="29">
        <v>185</v>
      </c>
      <c r="Y78" s="27" t="s">
        <v>69</v>
      </c>
      <c r="Z78" s="27" t="s">
        <v>69</v>
      </c>
      <c r="AA78" s="29">
        <v>6</v>
      </c>
      <c r="AB78" s="29">
        <v>8</v>
      </c>
      <c r="AC78" s="29" t="s">
        <v>386</v>
      </c>
      <c r="AD78" s="29" t="s">
        <v>386</v>
      </c>
      <c r="AE78" s="29" t="s">
        <v>386</v>
      </c>
      <c r="AF78" s="29" t="s">
        <v>386</v>
      </c>
      <c r="AG78" s="27">
        <v>14</v>
      </c>
      <c r="AH78" s="27">
        <v>0</v>
      </c>
      <c r="AI78" s="27">
        <v>0</v>
      </c>
      <c r="AJ78" s="23" t="s">
        <v>279</v>
      </c>
      <c r="AK78" s="23" t="s">
        <v>229</v>
      </c>
      <c r="AL78" s="30">
        <v>13.5</v>
      </c>
      <c r="AM78" s="23"/>
      <c r="AN78" s="31" t="s">
        <v>219</v>
      </c>
      <c r="AO78" s="23" t="s">
        <v>284</v>
      </c>
      <c r="AP78" s="23" t="s">
        <v>89</v>
      </c>
      <c r="AQ78" s="34">
        <v>4101</v>
      </c>
      <c r="AR78" s="23" t="s">
        <v>78</v>
      </c>
      <c r="AS78" s="23">
        <v>41</v>
      </c>
      <c r="AT78" s="23">
        <v>1</v>
      </c>
      <c r="AU78" s="23">
        <v>0</v>
      </c>
    </row>
    <row r="79" spans="1:47">
      <c r="A79" s="26" t="s">
        <v>229</v>
      </c>
      <c r="B79" s="23" t="s">
        <v>55</v>
      </c>
      <c r="C79" s="23">
        <v>2</v>
      </c>
      <c r="D79" s="23"/>
      <c r="E79" s="23" t="s">
        <v>60</v>
      </c>
      <c r="F79" s="23" t="s">
        <v>289</v>
      </c>
      <c r="G79" s="27">
        <v>2003</v>
      </c>
      <c r="H79" s="27">
        <v>20</v>
      </c>
      <c r="I79" s="27">
        <v>25</v>
      </c>
      <c r="J79" s="27">
        <v>20</v>
      </c>
      <c r="K79" s="27">
        <v>5</v>
      </c>
      <c r="L79" s="27">
        <v>10</v>
      </c>
      <c r="M79" s="27"/>
      <c r="N79" s="27"/>
      <c r="O79" s="27"/>
      <c r="P79" s="28">
        <v>15</v>
      </c>
      <c r="Q79" s="28">
        <v>23.571428571428573</v>
      </c>
      <c r="R79" s="28">
        <v>36.878095238095234</v>
      </c>
      <c r="S79" s="27">
        <v>90</v>
      </c>
      <c r="T79" s="29">
        <v>340</v>
      </c>
      <c r="U79" s="27">
        <v>250</v>
      </c>
      <c r="V79" s="27">
        <v>11</v>
      </c>
      <c r="W79" s="27">
        <v>106</v>
      </c>
      <c r="X79" s="29">
        <v>185</v>
      </c>
      <c r="Y79" s="27" t="s">
        <v>102</v>
      </c>
      <c r="Z79" s="27" t="s">
        <v>102</v>
      </c>
      <c r="AA79" s="29">
        <v>6</v>
      </c>
      <c r="AB79" s="29">
        <v>8</v>
      </c>
      <c r="AC79" s="29" t="s">
        <v>386</v>
      </c>
      <c r="AD79" s="29" t="s">
        <v>386</v>
      </c>
      <c r="AE79" s="29" t="s">
        <v>386</v>
      </c>
      <c r="AF79" s="29" t="s">
        <v>386</v>
      </c>
      <c r="AG79" s="27">
        <v>14</v>
      </c>
      <c r="AH79" s="27">
        <v>0</v>
      </c>
      <c r="AI79" s="27">
        <v>0</v>
      </c>
      <c r="AJ79" s="23" t="s">
        <v>279</v>
      </c>
      <c r="AK79" s="23" t="s">
        <v>229</v>
      </c>
      <c r="AL79" s="30">
        <v>13.5</v>
      </c>
      <c r="AM79" s="23"/>
      <c r="AN79" s="31" t="s">
        <v>219</v>
      </c>
      <c r="AO79" s="23" t="s">
        <v>284</v>
      </c>
      <c r="AP79" s="23" t="s">
        <v>89</v>
      </c>
      <c r="AQ79" s="34">
        <v>4101.01</v>
      </c>
      <c r="AR79" s="23" t="s">
        <v>78</v>
      </c>
      <c r="AS79" s="23">
        <v>41</v>
      </c>
      <c r="AT79" s="23">
        <v>1</v>
      </c>
      <c r="AU79" s="23">
        <v>1</v>
      </c>
    </row>
    <row r="80" spans="1:47">
      <c r="A80" s="26" t="s">
        <v>227</v>
      </c>
      <c r="B80" s="23" t="s">
        <v>55</v>
      </c>
      <c r="C80" s="23">
        <v>3</v>
      </c>
      <c r="D80" s="23"/>
      <c r="E80" s="23" t="s">
        <v>60</v>
      </c>
      <c r="F80" s="23" t="s">
        <v>286</v>
      </c>
      <c r="G80" s="27">
        <v>2009</v>
      </c>
      <c r="H80" s="27">
        <v>20</v>
      </c>
      <c r="I80" s="27">
        <v>25</v>
      </c>
      <c r="J80" s="27">
        <v>20</v>
      </c>
      <c r="K80" s="27">
        <v>14</v>
      </c>
      <c r="L80" s="27">
        <v>14</v>
      </c>
      <c r="M80" s="27">
        <v>14</v>
      </c>
      <c r="N80" s="27"/>
      <c r="O80" s="27"/>
      <c r="P80" s="28">
        <v>42</v>
      </c>
      <c r="Q80" s="28">
        <v>24.504000000000001</v>
      </c>
      <c r="R80" s="28">
        <v>35.881333333333338</v>
      </c>
      <c r="S80" s="27">
        <v>70</v>
      </c>
      <c r="T80" s="29">
        <v>310.08000000000004</v>
      </c>
      <c r="U80" s="27">
        <v>228</v>
      </c>
      <c r="V80" s="27">
        <v>12</v>
      </c>
      <c r="W80" s="27">
        <v>101</v>
      </c>
      <c r="X80" s="29">
        <v>200</v>
      </c>
      <c r="Y80" s="27" t="s">
        <v>69</v>
      </c>
      <c r="Z80" s="27" t="s">
        <v>69</v>
      </c>
      <c r="AA80" s="29">
        <v>5</v>
      </c>
      <c r="AB80" s="29">
        <v>8</v>
      </c>
      <c r="AC80" s="29" t="s">
        <v>386</v>
      </c>
      <c r="AD80" s="29" t="s">
        <v>386</v>
      </c>
      <c r="AE80" s="29" t="s">
        <v>386</v>
      </c>
      <c r="AF80" s="29" t="s">
        <v>386</v>
      </c>
      <c r="AG80" s="27">
        <v>13</v>
      </c>
      <c r="AH80" s="27">
        <v>0</v>
      </c>
      <c r="AI80" s="27">
        <v>0</v>
      </c>
      <c r="AJ80" s="23" t="s">
        <v>279</v>
      </c>
      <c r="AK80" s="23" t="s">
        <v>281</v>
      </c>
      <c r="AL80" s="30">
        <v>12</v>
      </c>
      <c r="AM80" s="23"/>
      <c r="AN80" s="31" t="s">
        <v>220</v>
      </c>
      <c r="AO80" s="23" t="s">
        <v>282</v>
      </c>
      <c r="AP80" s="23" t="s">
        <v>71</v>
      </c>
      <c r="AQ80" s="34">
        <v>4102</v>
      </c>
      <c r="AR80" s="23" t="s">
        <v>78</v>
      </c>
      <c r="AS80" s="23">
        <v>41</v>
      </c>
      <c r="AT80" s="23">
        <v>2</v>
      </c>
      <c r="AU80" s="23">
        <v>0</v>
      </c>
    </row>
    <row r="81" spans="1:47">
      <c r="A81" s="26" t="s">
        <v>227</v>
      </c>
      <c r="B81" s="23" t="s">
        <v>55</v>
      </c>
      <c r="C81" s="23">
        <v>3</v>
      </c>
      <c r="D81" s="23"/>
      <c r="E81" s="23" t="s">
        <v>60</v>
      </c>
      <c r="F81" s="23" t="s">
        <v>286</v>
      </c>
      <c r="G81" s="27">
        <v>2009</v>
      </c>
      <c r="H81" s="27">
        <v>20</v>
      </c>
      <c r="I81" s="27">
        <v>25</v>
      </c>
      <c r="J81" s="27">
        <v>20</v>
      </c>
      <c r="K81" s="27">
        <v>14</v>
      </c>
      <c r="L81" s="27">
        <v>14</v>
      </c>
      <c r="M81" s="27">
        <v>14</v>
      </c>
      <c r="N81" s="27"/>
      <c r="O81" s="27"/>
      <c r="P81" s="28">
        <v>42</v>
      </c>
      <c r="Q81" s="28">
        <v>24.504000000000001</v>
      </c>
      <c r="R81" s="28">
        <v>35.881333333333338</v>
      </c>
      <c r="S81" s="27">
        <v>70</v>
      </c>
      <c r="T81" s="29">
        <v>310.08000000000004</v>
      </c>
      <c r="U81" s="27">
        <v>228</v>
      </c>
      <c r="V81" s="27">
        <v>12</v>
      </c>
      <c r="W81" s="27">
        <v>101</v>
      </c>
      <c r="X81" s="29">
        <v>200</v>
      </c>
      <c r="Y81" s="27" t="s">
        <v>102</v>
      </c>
      <c r="Z81" s="27" t="s">
        <v>102</v>
      </c>
      <c r="AA81" s="29">
        <v>5</v>
      </c>
      <c r="AB81" s="29">
        <v>8</v>
      </c>
      <c r="AC81" s="29" t="s">
        <v>386</v>
      </c>
      <c r="AD81" s="29" t="s">
        <v>386</v>
      </c>
      <c r="AE81" s="29" t="s">
        <v>386</v>
      </c>
      <c r="AF81" s="29" t="s">
        <v>386</v>
      </c>
      <c r="AG81" s="27">
        <v>13</v>
      </c>
      <c r="AH81" s="27">
        <v>0</v>
      </c>
      <c r="AI81" s="27">
        <v>0</v>
      </c>
      <c r="AJ81" s="23" t="s">
        <v>279</v>
      </c>
      <c r="AK81" s="23" t="s">
        <v>281</v>
      </c>
      <c r="AL81" s="30">
        <v>12</v>
      </c>
      <c r="AM81" s="23"/>
      <c r="AN81" s="31" t="s">
        <v>220</v>
      </c>
      <c r="AO81" s="23" t="s">
        <v>282</v>
      </c>
      <c r="AP81" s="23" t="s">
        <v>71</v>
      </c>
      <c r="AQ81" s="34">
        <v>4102.01</v>
      </c>
      <c r="AR81" s="23" t="s">
        <v>78</v>
      </c>
      <c r="AS81" s="23">
        <v>41</v>
      </c>
      <c r="AT81" s="23">
        <v>2</v>
      </c>
      <c r="AU81" s="23">
        <v>1</v>
      </c>
    </row>
    <row r="82" spans="1:47">
      <c r="A82" s="26" t="s">
        <v>319</v>
      </c>
      <c r="B82" s="23">
        <v>12</v>
      </c>
      <c r="C82" s="23">
        <v>3</v>
      </c>
      <c r="D82" s="23"/>
      <c r="E82" s="23" t="s">
        <v>60</v>
      </c>
      <c r="F82" s="23" t="s">
        <v>331</v>
      </c>
      <c r="G82" s="27">
        <v>2004</v>
      </c>
      <c r="H82" s="27">
        <v>20</v>
      </c>
      <c r="I82" s="27">
        <v>25</v>
      </c>
      <c r="J82" s="27">
        <v>20</v>
      </c>
      <c r="K82" s="27">
        <v>14</v>
      </c>
      <c r="L82" s="27">
        <v>14</v>
      </c>
      <c r="M82" s="27">
        <v>14</v>
      </c>
      <c r="N82" s="27"/>
      <c r="O82" s="27"/>
      <c r="P82" s="28">
        <v>42</v>
      </c>
      <c r="Q82" s="28">
        <v>22.508000000000003</v>
      </c>
      <c r="R82" s="28">
        <v>32.816000000000003</v>
      </c>
      <c r="S82" s="27">
        <v>85</v>
      </c>
      <c r="T82" s="29">
        <v>280.16000000000003</v>
      </c>
      <c r="U82" s="27">
        <v>206</v>
      </c>
      <c r="V82" s="27">
        <v>11</v>
      </c>
      <c r="W82" s="27">
        <v>105</v>
      </c>
      <c r="X82" s="29">
        <v>200</v>
      </c>
      <c r="Y82" s="27" t="s">
        <v>69</v>
      </c>
      <c r="Z82" s="27" t="s">
        <v>69</v>
      </c>
      <c r="AA82" s="29">
        <v>5</v>
      </c>
      <c r="AB82" s="29">
        <v>8</v>
      </c>
      <c r="AC82" s="29" t="s">
        <v>386</v>
      </c>
      <c r="AD82" s="29" t="s">
        <v>386</v>
      </c>
      <c r="AE82" s="29" t="s">
        <v>386</v>
      </c>
      <c r="AF82" s="29" t="s">
        <v>386</v>
      </c>
      <c r="AG82" s="27">
        <v>13</v>
      </c>
      <c r="AH82" s="27">
        <v>0</v>
      </c>
      <c r="AI82" s="27">
        <v>0</v>
      </c>
      <c r="AJ82" s="23" t="s">
        <v>335</v>
      </c>
      <c r="AK82" s="23" t="s">
        <v>152</v>
      </c>
      <c r="AL82" s="30">
        <v>2</v>
      </c>
      <c r="AM82" s="30"/>
      <c r="AN82" s="31" t="s">
        <v>220</v>
      </c>
      <c r="AO82" s="23" t="s">
        <v>66</v>
      </c>
      <c r="AP82" s="23" t="s">
        <v>71</v>
      </c>
      <c r="AQ82" s="34">
        <v>5400</v>
      </c>
      <c r="AR82" s="23" t="s">
        <v>78</v>
      </c>
      <c r="AS82" s="23">
        <v>54</v>
      </c>
      <c r="AT82" s="23">
        <v>0</v>
      </c>
      <c r="AU82" s="23">
        <v>0</v>
      </c>
    </row>
    <row r="83" spans="1:47">
      <c r="A83" s="26" t="s">
        <v>319</v>
      </c>
      <c r="B83" s="23">
        <v>12</v>
      </c>
      <c r="C83" s="23">
        <v>2</v>
      </c>
      <c r="D83" s="23"/>
      <c r="E83" s="23" t="s">
        <v>60</v>
      </c>
      <c r="F83" s="23" t="s">
        <v>334</v>
      </c>
      <c r="G83" s="27">
        <v>2004</v>
      </c>
      <c r="H83" s="27">
        <v>20</v>
      </c>
      <c r="I83" s="27">
        <v>25</v>
      </c>
      <c r="J83" s="27">
        <v>20</v>
      </c>
      <c r="K83" s="27">
        <v>14</v>
      </c>
      <c r="L83" s="27">
        <v>14</v>
      </c>
      <c r="M83" s="27"/>
      <c r="N83" s="27"/>
      <c r="O83" s="27"/>
      <c r="P83" s="28">
        <v>28</v>
      </c>
      <c r="Q83" s="28">
        <v>21.508000000000003</v>
      </c>
      <c r="R83" s="28">
        <v>31.816000000000003</v>
      </c>
      <c r="S83" s="27">
        <v>85</v>
      </c>
      <c r="T83" s="29">
        <v>280.16000000000003</v>
      </c>
      <c r="U83" s="27">
        <v>206</v>
      </c>
      <c r="V83" s="27">
        <v>11</v>
      </c>
      <c r="W83" s="27">
        <v>105</v>
      </c>
      <c r="X83" s="29">
        <v>200</v>
      </c>
      <c r="Y83" s="27" t="s">
        <v>69</v>
      </c>
      <c r="Z83" s="27" t="s">
        <v>69</v>
      </c>
      <c r="AA83" s="29">
        <v>5</v>
      </c>
      <c r="AB83" s="29">
        <v>8</v>
      </c>
      <c r="AC83" s="29" t="s">
        <v>386</v>
      </c>
      <c r="AD83" s="29" t="s">
        <v>386</v>
      </c>
      <c r="AE83" s="29" t="s">
        <v>386</v>
      </c>
      <c r="AF83" s="29" t="s">
        <v>386</v>
      </c>
      <c r="AG83" s="27">
        <v>13</v>
      </c>
      <c r="AH83" s="27">
        <v>0</v>
      </c>
      <c r="AI83" s="27">
        <v>0</v>
      </c>
      <c r="AJ83" s="23" t="s">
        <v>335</v>
      </c>
      <c r="AK83" s="23" t="s">
        <v>152</v>
      </c>
      <c r="AL83" s="30">
        <v>2</v>
      </c>
      <c r="AM83" s="30"/>
      <c r="AN83" s="31" t="s">
        <v>219</v>
      </c>
      <c r="AO83" s="23" t="s">
        <v>66</v>
      </c>
      <c r="AP83" s="23" t="s">
        <v>71</v>
      </c>
      <c r="AQ83" s="34">
        <v>5401</v>
      </c>
      <c r="AR83" s="23" t="s">
        <v>78</v>
      </c>
      <c r="AS83" s="23">
        <v>54</v>
      </c>
      <c r="AT83" s="23">
        <v>1</v>
      </c>
      <c r="AU83" s="23">
        <v>0</v>
      </c>
    </row>
    <row r="84" spans="1:47">
      <c r="A84" s="26" t="s">
        <v>319</v>
      </c>
      <c r="B84" s="23" t="s">
        <v>320</v>
      </c>
      <c r="C84" s="23">
        <v>3</v>
      </c>
      <c r="D84" s="23"/>
      <c r="E84" s="23" t="s">
        <v>60</v>
      </c>
      <c r="F84" s="23" t="s">
        <v>332</v>
      </c>
      <c r="G84" s="27">
        <v>2011</v>
      </c>
      <c r="H84" s="27">
        <v>20</v>
      </c>
      <c r="I84" s="27">
        <v>25</v>
      </c>
      <c r="J84" s="27">
        <v>20</v>
      </c>
      <c r="K84" s="27">
        <v>14</v>
      </c>
      <c r="L84" s="27">
        <v>14</v>
      </c>
      <c r="M84" s="27">
        <v>14</v>
      </c>
      <c r="N84" s="27"/>
      <c r="O84" s="27"/>
      <c r="P84" s="28">
        <v>42</v>
      </c>
      <c r="Q84" s="28">
        <v>24.48</v>
      </c>
      <c r="R84" s="28">
        <v>36.86</v>
      </c>
      <c r="S84" s="27">
        <v>85</v>
      </c>
      <c r="T84" s="29">
        <v>319.60000000000002</v>
      </c>
      <c r="U84" s="27">
        <v>235</v>
      </c>
      <c r="V84" s="27">
        <v>11</v>
      </c>
      <c r="W84" s="27">
        <v>120</v>
      </c>
      <c r="X84" s="29">
        <v>200</v>
      </c>
      <c r="Y84" s="27" t="s">
        <v>69</v>
      </c>
      <c r="Z84" s="27" t="s">
        <v>69</v>
      </c>
      <c r="AA84" s="29">
        <v>6</v>
      </c>
      <c r="AB84" s="29">
        <v>8</v>
      </c>
      <c r="AC84" s="29" t="s">
        <v>386</v>
      </c>
      <c r="AD84" s="29" t="s">
        <v>386</v>
      </c>
      <c r="AE84" s="29" t="s">
        <v>386</v>
      </c>
      <c r="AF84" s="29" t="s">
        <v>386</v>
      </c>
      <c r="AG84" s="27">
        <v>14</v>
      </c>
      <c r="AH84" s="27">
        <v>0</v>
      </c>
      <c r="AI84" s="27">
        <v>0</v>
      </c>
      <c r="AJ84" s="23" t="s">
        <v>335</v>
      </c>
      <c r="AK84" s="23" t="s">
        <v>152</v>
      </c>
      <c r="AL84" s="30">
        <v>2</v>
      </c>
      <c r="AM84" s="30" t="s">
        <v>320</v>
      </c>
      <c r="AN84" s="31" t="s">
        <v>220</v>
      </c>
      <c r="AO84" s="23" t="s">
        <v>321</v>
      </c>
      <c r="AP84" s="23" t="s">
        <v>71</v>
      </c>
      <c r="AQ84" s="34">
        <v>5402</v>
      </c>
      <c r="AR84" s="23" t="s">
        <v>78</v>
      </c>
      <c r="AS84" s="23">
        <v>54</v>
      </c>
      <c r="AT84" s="23">
        <v>2</v>
      </c>
      <c r="AU84" s="23">
        <v>0</v>
      </c>
    </row>
    <row r="85" spans="1:47">
      <c r="A85" s="26" t="s">
        <v>319</v>
      </c>
      <c r="B85" s="23" t="s">
        <v>318</v>
      </c>
      <c r="C85" s="23">
        <v>3</v>
      </c>
      <c r="D85" s="23"/>
      <c r="E85" s="23" t="s">
        <v>60</v>
      </c>
      <c r="F85" s="23" t="s">
        <v>333</v>
      </c>
      <c r="G85" s="27">
        <v>2005</v>
      </c>
      <c r="H85" s="27">
        <v>20</v>
      </c>
      <c r="I85" s="27">
        <v>25</v>
      </c>
      <c r="J85" s="27">
        <v>20</v>
      </c>
      <c r="K85" s="27">
        <v>14</v>
      </c>
      <c r="L85" s="27">
        <v>14</v>
      </c>
      <c r="M85" s="27">
        <v>14</v>
      </c>
      <c r="N85" s="27"/>
      <c r="O85" s="27"/>
      <c r="P85" s="28">
        <v>42</v>
      </c>
      <c r="Q85" s="28">
        <v>27.48</v>
      </c>
      <c r="R85" s="28">
        <v>37.520000000000003</v>
      </c>
      <c r="S85" s="27">
        <v>85</v>
      </c>
      <c r="T85" s="29">
        <v>319.60000000000002</v>
      </c>
      <c r="U85" s="27">
        <v>235</v>
      </c>
      <c r="V85" s="27">
        <v>17</v>
      </c>
      <c r="W85" s="27">
        <v>129</v>
      </c>
      <c r="X85" s="29">
        <v>200</v>
      </c>
      <c r="Y85" s="27" t="s">
        <v>69</v>
      </c>
      <c r="Z85" s="27" t="s">
        <v>69</v>
      </c>
      <c r="AA85" s="29">
        <v>6</v>
      </c>
      <c r="AB85" s="29">
        <v>8</v>
      </c>
      <c r="AC85" s="29" t="s">
        <v>386</v>
      </c>
      <c r="AD85" s="29" t="s">
        <v>386</v>
      </c>
      <c r="AE85" s="29" t="s">
        <v>386</v>
      </c>
      <c r="AF85" s="29" t="s">
        <v>386</v>
      </c>
      <c r="AG85" s="27">
        <v>14</v>
      </c>
      <c r="AH85" s="27">
        <v>0</v>
      </c>
      <c r="AI85" s="27">
        <v>0</v>
      </c>
      <c r="AJ85" s="23" t="s">
        <v>335</v>
      </c>
      <c r="AK85" s="23" t="s">
        <v>152</v>
      </c>
      <c r="AL85" s="30">
        <v>2</v>
      </c>
      <c r="AM85" s="30" t="s">
        <v>318</v>
      </c>
      <c r="AN85" s="31" t="s">
        <v>220</v>
      </c>
      <c r="AO85" s="23" t="s">
        <v>321</v>
      </c>
      <c r="AP85" s="23" t="s">
        <v>71</v>
      </c>
      <c r="AQ85" s="34">
        <v>5403</v>
      </c>
      <c r="AR85" s="23" t="s">
        <v>78</v>
      </c>
      <c r="AS85" s="23">
        <v>54</v>
      </c>
      <c r="AT85" s="23">
        <v>3</v>
      </c>
      <c r="AU85" s="23">
        <v>0</v>
      </c>
    </row>
    <row r="86" spans="1:47">
      <c r="A86" s="26" t="s">
        <v>319</v>
      </c>
      <c r="B86" s="23" t="s">
        <v>318</v>
      </c>
      <c r="C86" s="23">
        <v>3</v>
      </c>
      <c r="D86" s="23"/>
      <c r="E86" s="23" t="s">
        <v>60</v>
      </c>
      <c r="F86" s="23" t="s">
        <v>333</v>
      </c>
      <c r="G86" s="27">
        <v>2005</v>
      </c>
      <c r="H86" s="27">
        <v>20</v>
      </c>
      <c r="I86" s="27">
        <v>25</v>
      </c>
      <c r="J86" s="27">
        <v>20</v>
      </c>
      <c r="K86" s="27">
        <v>14</v>
      </c>
      <c r="L86" s="27">
        <v>14</v>
      </c>
      <c r="M86" s="27">
        <v>14</v>
      </c>
      <c r="N86" s="27"/>
      <c r="O86" s="27"/>
      <c r="P86" s="28">
        <v>42</v>
      </c>
      <c r="Q86" s="28">
        <v>27.48</v>
      </c>
      <c r="R86" s="28">
        <v>37.520000000000003</v>
      </c>
      <c r="S86" s="27">
        <v>85</v>
      </c>
      <c r="T86" s="29">
        <v>319.60000000000002</v>
      </c>
      <c r="U86" s="27">
        <v>235</v>
      </c>
      <c r="V86" s="27">
        <v>17</v>
      </c>
      <c r="W86" s="27">
        <v>129</v>
      </c>
      <c r="X86" s="29">
        <v>200</v>
      </c>
      <c r="Y86" s="27" t="s">
        <v>298</v>
      </c>
      <c r="Z86" s="27" t="s">
        <v>298</v>
      </c>
      <c r="AA86" s="29">
        <v>6</v>
      </c>
      <c r="AB86" s="29">
        <v>8</v>
      </c>
      <c r="AC86" s="29" t="s">
        <v>386</v>
      </c>
      <c r="AD86" s="29" t="s">
        <v>386</v>
      </c>
      <c r="AE86" s="29" t="s">
        <v>386</v>
      </c>
      <c r="AF86" s="29" t="s">
        <v>386</v>
      </c>
      <c r="AG86" s="27">
        <v>14</v>
      </c>
      <c r="AH86" s="27">
        <v>0</v>
      </c>
      <c r="AI86" s="27">
        <v>0</v>
      </c>
      <c r="AJ86" s="23" t="s">
        <v>335</v>
      </c>
      <c r="AK86" s="23" t="s">
        <v>152</v>
      </c>
      <c r="AL86" s="30">
        <v>2</v>
      </c>
      <c r="AM86" s="30" t="s">
        <v>318</v>
      </c>
      <c r="AN86" s="31" t="s">
        <v>220</v>
      </c>
      <c r="AO86" s="23" t="s">
        <v>321</v>
      </c>
      <c r="AP86" s="23" t="s">
        <v>71</v>
      </c>
      <c r="AQ86" s="34">
        <v>5403.01</v>
      </c>
      <c r="AR86" s="35" t="s">
        <v>299</v>
      </c>
      <c r="AS86" s="23">
        <v>54</v>
      </c>
      <c r="AT86" s="23">
        <v>3</v>
      </c>
      <c r="AU86" s="23">
        <v>1</v>
      </c>
    </row>
    <row r="87" spans="1:47">
      <c r="A87" s="26" t="s">
        <v>118</v>
      </c>
      <c r="B87" s="23" t="s">
        <v>119</v>
      </c>
      <c r="C87" s="23">
        <v>3</v>
      </c>
      <c r="D87" s="23"/>
      <c r="E87" s="23" t="s">
        <v>76</v>
      </c>
      <c r="F87" s="23" t="s">
        <v>131</v>
      </c>
      <c r="G87" s="27">
        <v>2023</v>
      </c>
      <c r="H87" s="27">
        <v>20</v>
      </c>
      <c r="I87" s="27">
        <v>25</v>
      </c>
      <c r="J87" s="27">
        <v>20</v>
      </c>
      <c r="K87" s="27">
        <v>14</v>
      </c>
      <c r="L87" s="27">
        <v>14</v>
      </c>
      <c r="M87" s="27">
        <v>14</v>
      </c>
      <c r="N87" s="27"/>
      <c r="O87" s="27"/>
      <c r="P87" s="28">
        <v>42</v>
      </c>
      <c r="Q87" s="28">
        <v>35.730000000000004</v>
      </c>
      <c r="R87" s="28">
        <v>20.170000000000002</v>
      </c>
      <c r="S87" s="27">
        <v>80</v>
      </c>
      <c r="T87" s="29">
        <v>326.40000000000003</v>
      </c>
      <c r="U87" s="27">
        <v>240</v>
      </c>
      <c r="V87" s="27">
        <v>11</v>
      </c>
      <c r="W87" s="27">
        <v>90</v>
      </c>
      <c r="X87" s="29">
        <v>200</v>
      </c>
      <c r="Y87" s="27" t="s">
        <v>69</v>
      </c>
      <c r="Z87" s="27" t="s">
        <v>69</v>
      </c>
      <c r="AA87" s="29">
        <v>3</v>
      </c>
      <c r="AB87" s="29">
        <v>8</v>
      </c>
      <c r="AC87" s="29" t="s">
        <v>386</v>
      </c>
      <c r="AD87" s="29" t="s">
        <v>386</v>
      </c>
      <c r="AE87" s="29" t="s">
        <v>386</v>
      </c>
      <c r="AF87" s="29" t="s">
        <v>386</v>
      </c>
      <c r="AG87" s="27">
        <v>11</v>
      </c>
      <c r="AH87" s="27">
        <v>0</v>
      </c>
      <c r="AI87" s="27">
        <v>0</v>
      </c>
      <c r="AJ87" s="23" t="s">
        <v>151</v>
      </c>
      <c r="AK87" s="23" t="s">
        <v>152</v>
      </c>
      <c r="AL87" s="30">
        <v>3</v>
      </c>
      <c r="AM87" s="30" t="s">
        <v>119</v>
      </c>
      <c r="AN87" s="31" t="s">
        <v>220</v>
      </c>
      <c r="AO87" s="23" t="s">
        <v>67</v>
      </c>
      <c r="AP87" s="23" t="s">
        <v>71</v>
      </c>
      <c r="AQ87" s="34">
        <v>5500</v>
      </c>
      <c r="AR87" s="23" t="s">
        <v>78</v>
      </c>
      <c r="AS87" s="23">
        <v>55</v>
      </c>
      <c r="AT87" s="23">
        <v>0</v>
      </c>
      <c r="AU87" s="23">
        <v>0</v>
      </c>
    </row>
    <row r="88" spans="1:47">
      <c r="A88" s="26" t="s">
        <v>118</v>
      </c>
      <c r="B88" s="23" t="s">
        <v>119</v>
      </c>
      <c r="C88" s="23">
        <v>3</v>
      </c>
      <c r="D88" s="23"/>
      <c r="E88" s="23" t="s">
        <v>76</v>
      </c>
      <c r="F88" s="23" t="s">
        <v>131</v>
      </c>
      <c r="G88" s="27">
        <v>2023</v>
      </c>
      <c r="H88" s="27">
        <v>20</v>
      </c>
      <c r="I88" s="27">
        <v>25</v>
      </c>
      <c r="J88" s="27">
        <v>20</v>
      </c>
      <c r="K88" s="27">
        <v>14</v>
      </c>
      <c r="L88" s="27">
        <v>14</v>
      </c>
      <c r="M88" s="27">
        <v>14</v>
      </c>
      <c r="N88" s="27"/>
      <c r="O88" s="27"/>
      <c r="P88" s="28">
        <v>42</v>
      </c>
      <c r="Q88" s="28">
        <v>35.730000000000004</v>
      </c>
      <c r="R88" s="28">
        <v>20.170000000000002</v>
      </c>
      <c r="S88" s="27">
        <v>80</v>
      </c>
      <c r="T88" s="29">
        <v>326.40000000000003</v>
      </c>
      <c r="U88" s="27">
        <v>240</v>
      </c>
      <c r="V88" s="27">
        <v>11</v>
      </c>
      <c r="W88" s="27">
        <v>90</v>
      </c>
      <c r="X88" s="29">
        <v>200</v>
      </c>
      <c r="Y88" s="27" t="s">
        <v>102</v>
      </c>
      <c r="Z88" s="27" t="s">
        <v>102</v>
      </c>
      <c r="AA88" s="29">
        <v>3</v>
      </c>
      <c r="AB88" s="29">
        <v>8</v>
      </c>
      <c r="AC88" s="29" t="s">
        <v>386</v>
      </c>
      <c r="AD88" s="29" t="s">
        <v>386</v>
      </c>
      <c r="AE88" s="29" t="s">
        <v>386</v>
      </c>
      <c r="AF88" s="29" t="s">
        <v>386</v>
      </c>
      <c r="AG88" s="27">
        <v>11</v>
      </c>
      <c r="AH88" s="27">
        <v>0</v>
      </c>
      <c r="AI88" s="27">
        <v>0</v>
      </c>
      <c r="AJ88" s="23" t="s">
        <v>151</v>
      </c>
      <c r="AK88" s="23" t="s">
        <v>152</v>
      </c>
      <c r="AL88" s="30">
        <v>3</v>
      </c>
      <c r="AM88" s="30" t="s">
        <v>119</v>
      </c>
      <c r="AN88" s="31" t="s">
        <v>220</v>
      </c>
      <c r="AO88" s="23" t="s">
        <v>67</v>
      </c>
      <c r="AP88" s="23" t="s">
        <v>71</v>
      </c>
      <c r="AQ88" s="34">
        <v>5500.01</v>
      </c>
      <c r="AR88" s="23" t="s">
        <v>78</v>
      </c>
      <c r="AS88" s="23">
        <v>55</v>
      </c>
      <c r="AT88" s="23">
        <v>0</v>
      </c>
      <c r="AU88" s="23">
        <v>1</v>
      </c>
    </row>
    <row r="89" spans="1:47">
      <c r="A89" s="26" t="s">
        <v>118</v>
      </c>
      <c r="B89" s="23" t="s">
        <v>119</v>
      </c>
      <c r="C89" s="23">
        <v>3</v>
      </c>
      <c r="D89" s="23"/>
      <c r="E89" s="23" t="s">
        <v>76</v>
      </c>
      <c r="F89" s="23" t="s">
        <v>131</v>
      </c>
      <c r="G89" s="27">
        <v>2023</v>
      </c>
      <c r="H89" s="27">
        <v>20</v>
      </c>
      <c r="I89" s="27">
        <v>25</v>
      </c>
      <c r="J89" s="27">
        <v>20</v>
      </c>
      <c r="K89" s="27">
        <v>14</v>
      </c>
      <c r="L89" s="27">
        <v>14</v>
      </c>
      <c r="M89" s="27">
        <v>14</v>
      </c>
      <c r="N89" s="27"/>
      <c r="O89" s="27"/>
      <c r="P89" s="28">
        <v>42</v>
      </c>
      <c r="Q89" s="28">
        <v>35.730000000000004</v>
      </c>
      <c r="R89" s="28">
        <v>20.170000000000002</v>
      </c>
      <c r="S89" s="27">
        <v>80</v>
      </c>
      <c r="T89" s="29">
        <v>326.40000000000003</v>
      </c>
      <c r="U89" s="27">
        <v>240</v>
      </c>
      <c r="V89" s="27">
        <v>11</v>
      </c>
      <c r="W89" s="27">
        <v>90</v>
      </c>
      <c r="X89" s="29">
        <v>200</v>
      </c>
      <c r="Y89" s="27" t="s">
        <v>108</v>
      </c>
      <c r="Z89" s="27" t="s">
        <v>108</v>
      </c>
      <c r="AA89" s="29">
        <v>3</v>
      </c>
      <c r="AB89" s="29">
        <v>8</v>
      </c>
      <c r="AC89" s="29" t="s">
        <v>386</v>
      </c>
      <c r="AD89" s="29" t="s">
        <v>386</v>
      </c>
      <c r="AE89" s="29" t="s">
        <v>386</v>
      </c>
      <c r="AF89" s="29" t="s">
        <v>386</v>
      </c>
      <c r="AG89" s="27">
        <v>11</v>
      </c>
      <c r="AH89" s="27">
        <v>0</v>
      </c>
      <c r="AI89" s="27">
        <v>0</v>
      </c>
      <c r="AJ89" s="23" t="s">
        <v>151</v>
      </c>
      <c r="AK89" s="23" t="s">
        <v>152</v>
      </c>
      <c r="AL89" s="30">
        <v>3</v>
      </c>
      <c r="AM89" s="30" t="s">
        <v>119</v>
      </c>
      <c r="AN89" s="31" t="s">
        <v>220</v>
      </c>
      <c r="AO89" s="23" t="s">
        <v>67</v>
      </c>
      <c r="AP89" s="23" t="s">
        <v>71</v>
      </c>
      <c r="AQ89" s="34">
        <v>5500.02</v>
      </c>
      <c r="AR89" s="23" t="s">
        <v>188</v>
      </c>
      <c r="AS89" s="23">
        <v>55</v>
      </c>
      <c r="AT89" s="23">
        <v>0</v>
      </c>
      <c r="AU89" s="23">
        <v>2</v>
      </c>
    </row>
    <row r="90" spans="1:47">
      <c r="A90" s="26" t="s">
        <v>118</v>
      </c>
      <c r="B90" s="23" t="s">
        <v>119</v>
      </c>
      <c r="C90" s="23">
        <v>3</v>
      </c>
      <c r="D90" s="23"/>
      <c r="E90" s="23" t="s">
        <v>76</v>
      </c>
      <c r="F90" s="23" t="s">
        <v>131</v>
      </c>
      <c r="G90" s="27">
        <v>2023</v>
      </c>
      <c r="H90" s="27">
        <v>20</v>
      </c>
      <c r="I90" s="27">
        <v>25</v>
      </c>
      <c r="J90" s="27">
        <v>20</v>
      </c>
      <c r="K90" s="27">
        <v>14</v>
      </c>
      <c r="L90" s="27">
        <v>14</v>
      </c>
      <c r="M90" s="27">
        <v>14</v>
      </c>
      <c r="N90" s="27"/>
      <c r="O90" s="27"/>
      <c r="P90" s="28">
        <v>42</v>
      </c>
      <c r="Q90" s="28">
        <v>35.730000000000004</v>
      </c>
      <c r="R90" s="28">
        <v>20.170000000000002</v>
      </c>
      <c r="S90" s="27">
        <v>80</v>
      </c>
      <c r="T90" s="29">
        <v>326.40000000000003</v>
      </c>
      <c r="U90" s="27">
        <v>240</v>
      </c>
      <c r="V90" s="27">
        <v>11</v>
      </c>
      <c r="W90" s="27">
        <v>90</v>
      </c>
      <c r="X90" s="29">
        <v>200</v>
      </c>
      <c r="Y90" s="27" t="s">
        <v>163</v>
      </c>
      <c r="Z90" s="27" t="s">
        <v>163</v>
      </c>
      <c r="AA90" s="29">
        <v>3</v>
      </c>
      <c r="AB90" s="29">
        <v>8</v>
      </c>
      <c r="AC90" s="29" t="s">
        <v>386</v>
      </c>
      <c r="AD90" s="29" t="s">
        <v>386</v>
      </c>
      <c r="AE90" s="29" t="s">
        <v>386</v>
      </c>
      <c r="AF90" s="29" t="s">
        <v>386</v>
      </c>
      <c r="AG90" s="27">
        <v>11</v>
      </c>
      <c r="AH90" s="27">
        <v>0</v>
      </c>
      <c r="AI90" s="27">
        <v>0</v>
      </c>
      <c r="AJ90" s="23" t="s">
        <v>151</v>
      </c>
      <c r="AK90" s="23" t="s">
        <v>152</v>
      </c>
      <c r="AL90" s="30">
        <v>3</v>
      </c>
      <c r="AM90" s="30" t="s">
        <v>119</v>
      </c>
      <c r="AN90" s="31" t="s">
        <v>220</v>
      </c>
      <c r="AO90" s="23" t="s">
        <v>67</v>
      </c>
      <c r="AP90" s="23" t="s">
        <v>71</v>
      </c>
      <c r="AQ90" s="34">
        <v>5500.03</v>
      </c>
      <c r="AR90" s="23" t="s">
        <v>189</v>
      </c>
      <c r="AS90" s="23">
        <v>55</v>
      </c>
      <c r="AT90" s="23">
        <v>0</v>
      </c>
      <c r="AU90" s="23">
        <v>3</v>
      </c>
    </row>
    <row r="91" spans="1:47">
      <c r="A91" s="26" t="s">
        <v>118</v>
      </c>
      <c r="B91" s="23" t="s">
        <v>119</v>
      </c>
      <c r="C91" s="23">
        <v>2</v>
      </c>
      <c r="D91" s="23"/>
      <c r="E91" s="23" t="s">
        <v>76</v>
      </c>
      <c r="F91" s="23" t="s">
        <v>162</v>
      </c>
      <c r="G91" s="27">
        <v>2023</v>
      </c>
      <c r="H91" s="27">
        <v>20</v>
      </c>
      <c r="I91" s="27">
        <v>25</v>
      </c>
      <c r="J91" s="27">
        <v>20</v>
      </c>
      <c r="K91" s="27">
        <v>14</v>
      </c>
      <c r="L91" s="27">
        <v>14</v>
      </c>
      <c r="M91" s="27"/>
      <c r="N91" s="27"/>
      <c r="O91" s="27"/>
      <c r="P91" s="28">
        <v>28</v>
      </c>
      <c r="Q91" s="28">
        <v>34.730000000000004</v>
      </c>
      <c r="R91" s="28">
        <v>19.170000000000002</v>
      </c>
      <c r="S91" s="27">
        <v>80</v>
      </c>
      <c r="T91" s="29">
        <v>326.40000000000003</v>
      </c>
      <c r="U91" s="27">
        <v>240</v>
      </c>
      <c r="V91" s="27">
        <v>11</v>
      </c>
      <c r="W91" s="27">
        <v>90</v>
      </c>
      <c r="X91" s="29">
        <v>200</v>
      </c>
      <c r="Y91" s="27" t="s">
        <v>69</v>
      </c>
      <c r="Z91" s="27" t="s">
        <v>69</v>
      </c>
      <c r="AA91" s="29">
        <v>3</v>
      </c>
      <c r="AB91" s="29">
        <v>8</v>
      </c>
      <c r="AC91" s="29" t="s">
        <v>386</v>
      </c>
      <c r="AD91" s="29" t="s">
        <v>386</v>
      </c>
      <c r="AE91" s="29" t="s">
        <v>386</v>
      </c>
      <c r="AF91" s="29" t="s">
        <v>386</v>
      </c>
      <c r="AG91" s="27">
        <v>11</v>
      </c>
      <c r="AH91" s="27">
        <v>0</v>
      </c>
      <c r="AI91" s="27">
        <v>0</v>
      </c>
      <c r="AJ91" s="23" t="s">
        <v>151</v>
      </c>
      <c r="AK91" s="23" t="s">
        <v>152</v>
      </c>
      <c r="AL91" s="30">
        <v>3</v>
      </c>
      <c r="AM91" s="30" t="s">
        <v>119</v>
      </c>
      <c r="AN91" s="31" t="s">
        <v>219</v>
      </c>
      <c r="AO91" s="23" t="s">
        <v>67</v>
      </c>
      <c r="AP91" s="23" t="s">
        <v>71</v>
      </c>
      <c r="AQ91" s="34">
        <v>5501</v>
      </c>
      <c r="AR91" s="23" t="s">
        <v>78</v>
      </c>
      <c r="AS91" s="23">
        <v>55</v>
      </c>
      <c r="AT91" s="23">
        <v>1</v>
      </c>
      <c r="AU91" s="23">
        <v>0</v>
      </c>
    </row>
    <row r="92" spans="1:47">
      <c r="A92" s="26" t="s">
        <v>118</v>
      </c>
      <c r="B92" s="23" t="s">
        <v>119</v>
      </c>
      <c r="C92" s="23">
        <v>2</v>
      </c>
      <c r="D92" s="23"/>
      <c r="E92" s="23" t="s">
        <v>76</v>
      </c>
      <c r="F92" s="23" t="s">
        <v>162</v>
      </c>
      <c r="G92" s="27">
        <v>2023</v>
      </c>
      <c r="H92" s="27">
        <v>20</v>
      </c>
      <c r="I92" s="27">
        <v>25</v>
      </c>
      <c r="J92" s="27">
        <v>20</v>
      </c>
      <c r="K92" s="27">
        <v>14</v>
      </c>
      <c r="L92" s="27">
        <v>14</v>
      </c>
      <c r="M92" s="27"/>
      <c r="N92" s="27"/>
      <c r="O92" s="27"/>
      <c r="P92" s="28">
        <v>28</v>
      </c>
      <c r="Q92" s="28">
        <v>34.730000000000004</v>
      </c>
      <c r="R92" s="28">
        <v>19.170000000000002</v>
      </c>
      <c r="S92" s="27">
        <v>80</v>
      </c>
      <c r="T92" s="29">
        <v>326.40000000000003</v>
      </c>
      <c r="U92" s="27">
        <v>240</v>
      </c>
      <c r="V92" s="27">
        <v>11</v>
      </c>
      <c r="W92" s="27">
        <v>90</v>
      </c>
      <c r="X92" s="29">
        <v>200</v>
      </c>
      <c r="Y92" s="27" t="s">
        <v>102</v>
      </c>
      <c r="Z92" s="27" t="s">
        <v>102</v>
      </c>
      <c r="AA92" s="29">
        <v>3</v>
      </c>
      <c r="AB92" s="29">
        <v>8</v>
      </c>
      <c r="AC92" s="29" t="s">
        <v>386</v>
      </c>
      <c r="AD92" s="29" t="s">
        <v>386</v>
      </c>
      <c r="AE92" s="29" t="s">
        <v>386</v>
      </c>
      <c r="AF92" s="29" t="s">
        <v>386</v>
      </c>
      <c r="AG92" s="27">
        <v>11</v>
      </c>
      <c r="AH92" s="27">
        <v>0</v>
      </c>
      <c r="AI92" s="27">
        <v>0</v>
      </c>
      <c r="AJ92" s="23" t="s">
        <v>151</v>
      </c>
      <c r="AK92" s="23" t="s">
        <v>152</v>
      </c>
      <c r="AL92" s="30">
        <v>3</v>
      </c>
      <c r="AM92" s="30" t="s">
        <v>119</v>
      </c>
      <c r="AN92" s="31" t="s">
        <v>219</v>
      </c>
      <c r="AO92" s="23" t="s">
        <v>67</v>
      </c>
      <c r="AP92" s="23" t="s">
        <v>71</v>
      </c>
      <c r="AQ92" s="34">
        <v>5501.01</v>
      </c>
      <c r="AR92" s="23" t="s">
        <v>78</v>
      </c>
      <c r="AS92" s="23">
        <v>55</v>
      </c>
      <c r="AT92" s="23">
        <v>1</v>
      </c>
      <c r="AU92" s="23">
        <v>1</v>
      </c>
    </row>
    <row r="93" spans="1:47">
      <c r="A93" s="26" t="s">
        <v>118</v>
      </c>
      <c r="B93" s="23" t="s">
        <v>119</v>
      </c>
      <c r="C93" s="23">
        <v>2</v>
      </c>
      <c r="D93" s="23"/>
      <c r="E93" s="23" t="s">
        <v>76</v>
      </c>
      <c r="F93" s="23" t="s">
        <v>162</v>
      </c>
      <c r="G93" s="27">
        <v>2023</v>
      </c>
      <c r="H93" s="27">
        <v>20</v>
      </c>
      <c r="I93" s="27">
        <v>25</v>
      </c>
      <c r="J93" s="27">
        <v>20</v>
      </c>
      <c r="K93" s="27">
        <v>14</v>
      </c>
      <c r="L93" s="27">
        <v>14</v>
      </c>
      <c r="M93" s="27"/>
      <c r="N93" s="27"/>
      <c r="O93" s="27"/>
      <c r="P93" s="28">
        <v>28</v>
      </c>
      <c r="Q93" s="28">
        <v>34.730000000000004</v>
      </c>
      <c r="R93" s="28">
        <v>19.170000000000002</v>
      </c>
      <c r="S93" s="27">
        <v>80</v>
      </c>
      <c r="T93" s="29">
        <v>326.40000000000003</v>
      </c>
      <c r="U93" s="27">
        <v>240</v>
      </c>
      <c r="V93" s="27">
        <v>11</v>
      </c>
      <c r="W93" s="27">
        <v>90</v>
      </c>
      <c r="X93" s="29">
        <v>200</v>
      </c>
      <c r="Y93" s="27" t="s">
        <v>164</v>
      </c>
      <c r="Z93" s="27" t="s">
        <v>164</v>
      </c>
      <c r="AA93" s="29">
        <v>3</v>
      </c>
      <c r="AB93" s="29">
        <v>8</v>
      </c>
      <c r="AC93" s="29" t="s">
        <v>386</v>
      </c>
      <c r="AD93" s="29" t="s">
        <v>386</v>
      </c>
      <c r="AE93" s="29" t="s">
        <v>386</v>
      </c>
      <c r="AF93" s="29" t="s">
        <v>386</v>
      </c>
      <c r="AG93" s="27">
        <v>11</v>
      </c>
      <c r="AH93" s="27">
        <v>0</v>
      </c>
      <c r="AI93" s="27">
        <v>0</v>
      </c>
      <c r="AJ93" s="23" t="s">
        <v>151</v>
      </c>
      <c r="AK93" s="23" t="s">
        <v>152</v>
      </c>
      <c r="AL93" s="30">
        <v>3</v>
      </c>
      <c r="AM93" s="30" t="s">
        <v>119</v>
      </c>
      <c r="AN93" s="31" t="s">
        <v>219</v>
      </c>
      <c r="AO93" s="23" t="s">
        <v>67</v>
      </c>
      <c r="AP93" s="23" t="s">
        <v>71</v>
      </c>
      <c r="AQ93" s="34">
        <v>5501.02</v>
      </c>
      <c r="AR93" s="23" t="s">
        <v>188</v>
      </c>
      <c r="AS93" s="23">
        <v>55</v>
      </c>
      <c r="AT93" s="23">
        <v>1</v>
      </c>
      <c r="AU93" s="23">
        <v>2</v>
      </c>
    </row>
    <row r="94" spans="1:47">
      <c r="A94" s="26" t="s">
        <v>118</v>
      </c>
      <c r="B94" s="23" t="s">
        <v>120</v>
      </c>
      <c r="C94" s="23">
        <v>3</v>
      </c>
      <c r="D94" s="23"/>
      <c r="E94" s="23" t="s">
        <v>60</v>
      </c>
      <c r="F94" s="23" t="s">
        <v>49</v>
      </c>
      <c r="G94" s="27">
        <v>2017</v>
      </c>
      <c r="H94" s="27">
        <v>20</v>
      </c>
      <c r="I94" s="27">
        <v>25</v>
      </c>
      <c r="J94" s="27">
        <v>20</v>
      </c>
      <c r="K94" s="27">
        <v>14</v>
      </c>
      <c r="L94" s="27">
        <v>14</v>
      </c>
      <c r="M94" s="27">
        <v>14</v>
      </c>
      <c r="N94" s="27"/>
      <c r="O94" s="27"/>
      <c r="P94" s="28">
        <v>42</v>
      </c>
      <c r="Q94" s="28">
        <v>22.508000000000003</v>
      </c>
      <c r="R94" s="28">
        <v>32.816000000000003</v>
      </c>
      <c r="S94" s="27">
        <v>80</v>
      </c>
      <c r="T94" s="29">
        <v>280.16000000000003</v>
      </c>
      <c r="U94" s="27">
        <v>206</v>
      </c>
      <c r="V94" s="27">
        <v>11</v>
      </c>
      <c r="W94" s="27">
        <v>105</v>
      </c>
      <c r="X94" s="29">
        <v>200</v>
      </c>
      <c r="Y94" s="27" t="s">
        <v>69</v>
      </c>
      <c r="Z94" s="27" t="s">
        <v>69</v>
      </c>
      <c r="AA94" s="29">
        <v>5</v>
      </c>
      <c r="AB94" s="29">
        <v>8</v>
      </c>
      <c r="AC94" s="29" t="s">
        <v>386</v>
      </c>
      <c r="AD94" s="29" t="s">
        <v>386</v>
      </c>
      <c r="AE94" s="29" t="s">
        <v>386</v>
      </c>
      <c r="AF94" s="29" t="s">
        <v>386</v>
      </c>
      <c r="AG94" s="27">
        <v>13</v>
      </c>
      <c r="AH94" s="27">
        <v>0</v>
      </c>
      <c r="AI94" s="27">
        <v>0</v>
      </c>
      <c r="AJ94" s="23" t="s">
        <v>151</v>
      </c>
      <c r="AK94" s="23" t="s">
        <v>152</v>
      </c>
      <c r="AL94" s="30">
        <v>3</v>
      </c>
      <c r="AM94" s="30" t="s">
        <v>120</v>
      </c>
      <c r="AN94" s="31" t="s">
        <v>220</v>
      </c>
      <c r="AO94" s="23" t="s">
        <v>66</v>
      </c>
      <c r="AP94" s="23" t="s">
        <v>71</v>
      </c>
      <c r="AQ94" s="34">
        <v>5502</v>
      </c>
      <c r="AR94" s="23" t="s">
        <v>78</v>
      </c>
      <c r="AS94" s="23">
        <v>55</v>
      </c>
      <c r="AT94" s="23">
        <v>2</v>
      </c>
      <c r="AU94" s="23">
        <v>0</v>
      </c>
    </row>
    <row r="95" spans="1:47">
      <c r="A95" s="26" t="s">
        <v>118</v>
      </c>
      <c r="B95" s="23" t="s">
        <v>120</v>
      </c>
      <c r="C95" s="23">
        <v>3</v>
      </c>
      <c r="D95" s="23"/>
      <c r="E95" s="23" t="s">
        <v>60</v>
      </c>
      <c r="F95" s="23" t="s">
        <v>49</v>
      </c>
      <c r="G95" s="27">
        <v>2017</v>
      </c>
      <c r="H95" s="27">
        <v>20</v>
      </c>
      <c r="I95" s="27">
        <v>25</v>
      </c>
      <c r="J95" s="27">
        <v>20</v>
      </c>
      <c r="K95" s="27">
        <v>14</v>
      </c>
      <c r="L95" s="27">
        <v>14</v>
      </c>
      <c r="M95" s="27">
        <v>14</v>
      </c>
      <c r="N95" s="27"/>
      <c r="O95" s="27"/>
      <c r="P95" s="28">
        <v>42</v>
      </c>
      <c r="Q95" s="28">
        <v>22.508000000000003</v>
      </c>
      <c r="R95" s="28">
        <v>32.816000000000003</v>
      </c>
      <c r="S95" s="27">
        <v>80</v>
      </c>
      <c r="T95" s="29">
        <v>280.16000000000003</v>
      </c>
      <c r="U95" s="27">
        <v>206</v>
      </c>
      <c r="V95" s="27">
        <v>11</v>
      </c>
      <c r="W95" s="27">
        <v>105</v>
      </c>
      <c r="X95" s="29">
        <v>200</v>
      </c>
      <c r="Y95" s="27" t="s">
        <v>102</v>
      </c>
      <c r="Z95" s="27" t="s">
        <v>102</v>
      </c>
      <c r="AA95" s="29">
        <v>5</v>
      </c>
      <c r="AB95" s="29">
        <v>8</v>
      </c>
      <c r="AC95" s="29" t="s">
        <v>386</v>
      </c>
      <c r="AD95" s="29" t="s">
        <v>386</v>
      </c>
      <c r="AE95" s="29" t="s">
        <v>386</v>
      </c>
      <c r="AF95" s="29" t="s">
        <v>386</v>
      </c>
      <c r="AG95" s="27">
        <v>13</v>
      </c>
      <c r="AH95" s="27">
        <v>0</v>
      </c>
      <c r="AI95" s="27">
        <v>0</v>
      </c>
      <c r="AJ95" s="23" t="s">
        <v>151</v>
      </c>
      <c r="AK95" s="23" t="s">
        <v>152</v>
      </c>
      <c r="AL95" s="30">
        <v>3</v>
      </c>
      <c r="AM95" s="30" t="s">
        <v>120</v>
      </c>
      <c r="AN95" s="31" t="s">
        <v>220</v>
      </c>
      <c r="AO95" s="23" t="s">
        <v>66</v>
      </c>
      <c r="AP95" s="23" t="s">
        <v>71</v>
      </c>
      <c r="AQ95" s="34">
        <v>5502.01</v>
      </c>
      <c r="AR95" s="23" t="s">
        <v>78</v>
      </c>
      <c r="AS95" s="23">
        <v>55</v>
      </c>
      <c r="AT95" s="23">
        <v>2</v>
      </c>
      <c r="AU95" s="23">
        <v>1</v>
      </c>
    </row>
    <row r="96" spans="1:47">
      <c r="A96" s="26" t="s">
        <v>118</v>
      </c>
      <c r="B96" s="23" t="s">
        <v>120</v>
      </c>
      <c r="C96" s="23">
        <v>3</v>
      </c>
      <c r="D96" s="23"/>
      <c r="E96" s="23" t="s">
        <v>60</v>
      </c>
      <c r="F96" s="23" t="s">
        <v>49</v>
      </c>
      <c r="G96" s="27">
        <v>2017</v>
      </c>
      <c r="H96" s="27">
        <v>20</v>
      </c>
      <c r="I96" s="27">
        <v>25</v>
      </c>
      <c r="J96" s="27">
        <v>20</v>
      </c>
      <c r="K96" s="27">
        <v>14</v>
      </c>
      <c r="L96" s="27">
        <v>14</v>
      </c>
      <c r="M96" s="27">
        <v>14</v>
      </c>
      <c r="N96" s="27"/>
      <c r="O96" s="27"/>
      <c r="P96" s="28">
        <v>42</v>
      </c>
      <c r="Q96" s="28">
        <v>22.508000000000003</v>
      </c>
      <c r="R96" s="28">
        <v>32.816000000000003</v>
      </c>
      <c r="S96" s="27">
        <v>80</v>
      </c>
      <c r="T96" s="29">
        <v>280.16000000000003</v>
      </c>
      <c r="U96" s="27">
        <v>206</v>
      </c>
      <c r="V96" s="27">
        <v>11</v>
      </c>
      <c r="W96" s="27">
        <v>105</v>
      </c>
      <c r="X96" s="29">
        <v>200</v>
      </c>
      <c r="Y96" s="27" t="s">
        <v>186</v>
      </c>
      <c r="Z96" s="27" t="s">
        <v>186</v>
      </c>
      <c r="AA96" s="29">
        <v>5</v>
      </c>
      <c r="AB96" s="29">
        <v>8</v>
      </c>
      <c r="AC96" s="29" t="s">
        <v>386</v>
      </c>
      <c r="AD96" s="29" t="s">
        <v>386</v>
      </c>
      <c r="AE96" s="29" t="s">
        <v>386</v>
      </c>
      <c r="AF96" s="29" t="s">
        <v>386</v>
      </c>
      <c r="AG96" s="27">
        <v>13</v>
      </c>
      <c r="AH96" s="27">
        <v>0</v>
      </c>
      <c r="AI96" s="27">
        <v>0</v>
      </c>
      <c r="AJ96" s="23" t="s">
        <v>151</v>
      </c>
      <c r="AK96" s="23" t="s">
        <v>152</v>
      </c>
      <c r="AL96" s="30">
        <v>3</v>
      </c>
      <c r="AM96" s="30" t="s">
        <v>120</v>
      </c>
      <c r="AN96" s="31" t="s">
        <v>220</v>
      </c>
      <c r="AO96" s="23" t="s">
        <v>66</v>
      </c>
      <c r="AP96" s="23" t="s">
        <v>71</v>
      </c>
      <c r="AQ96" s="34">
        <v>5502.02</v>
      </c>
      <c r="AR96" s="23" t="s">
        <v>78</v>
      </c>
      <c r="AS96" s="23">
        <v>55</v>
      </c>
      <c r="AT96" s="23">
        <v>2</v>
      </c>
      <c r="AU96" s="23">
        <v>2</v>
      </c>
    </row>
    <row r="97" spans="1:47">
      <c r="A97" s="26" t="s">
        <v>118</v>
      </c>
      <c r="B97" s="23" t="s">
        <v>121</v>
      </c>
      <c r="C97" s="23">
        <v>3</v>
      </c>
      <c r="D97" s="23"/>
      <c r="E97" s="23" t="s">
        <v>61</v>
      </c>
      <c r="F97" s="23" t="s">
        <v>132</v>
      </c>
      <c r="G97" s="27">
        <v>2018</v>
      </c>
      <c r="H97" s="27">
        <v>20</v>
      </c>
      <c r="I97" s="27">
        <v>25</v>
      </c>
      <c r="J97" s="27">
        <v>20</v>
      </c>
      <c r="K97" s="27">
        <v>14</v>
      </c>
      <c r="L97" s="27">
        <v>14</v>
      </c>
      <c r="M97" s="27">
        <v>14</v>
      </c>
      <c r="N97" s="27"/>
      <c r="O97" s="27"/>
      <c r="P97" s="28">
        <v>42</v>
      </c>
      <c r="Q97" s="28">
        <v>29.376000000000001</v>
      </c>
      <c r="R97" s="28">
        <v>30.088000000000001</v>
      </c>
      <c r="S97" s="27">
        <v>80</v>
      </c>
      <c r="T97" s="29">
        <v>319.60000000000002</v>
      </c>
      <c r="U97" s="27">
        <v>235</v>
      </c>
      <c r="V97" s="27">
        <v>12</v>
      </c>
      <c r="W97" s="27">
        <v>105</v>
      </c>
      <c r="X97" s="29">
        <v>200</v>
      </c>
      <c r="Y97" s="27" t="s">
        <v>69</v>
      </c>
      <c r="Z97" s="27" t="s">
        <v>69</v>
      </c>
      <c r="AA97" s="29">
        <v>5</v>
      </c>
      <c r="AB97" s="29">
        <v>8</v>
      </c>
      <c r="AC97" s="29" t="s">
        <v>386</v>
      </c>
      <c r="AD97" s="29" t="s">
        <v>386</v>
      </c>
      <c r="AE97" s="29" t="s">
        <v>386</v>
      </c>
      <c r="AF97" s="29" t="s">
        <v>386</v>
      </c>
      <c r="AG97" s="27">
        <v>13</v>
      </c>
      <c r="AH97" s="27">
        <v>0</v>
      </c>
      <c r="AI97" s="27">
        <v>0</v>
      </c>
      <c r="AJ97" s="23" t="s">
        <v>151</v>
      </c>
      <c r="AK97" s="23" t="s">
        <v>152</v>
      </c>
      <c r="AL97" s="30">
        <v>3</v>
      </c>
      <c r="AM97" s="30" t="s">
        <v>121</v>
      </c>
      <c r="AN97" s="31" t="s">
        <v>220</v>
      </c>
      <c r="AO97" s="23" t="s">
        <v>66</v>
      </c>
      <c r="AP97" s="23" t="s">
        <v>71</v>
      </c>
      <c r="AQ97" s="34">
        <v>5503</v>
      </c>
      <c r="AR97" s="23" t="s">
        <v>78</v>
      </c>
      <c r="AS97" s="23">
        <v>55</v>
      </c>
      <c r="AT97" s="23">
        <v>3</v>
      </c>
      <c r="AU97" s="23">
        <v>0</v>
      </c>
    </row>
    <row r="98" spans="1:47">
      <c r="A98" s="26" t="s">
        <v>118</v>
      </c>
      <c r="B98" s="23" t="s">
        <v>121</v>
      </c>
      <c r="C98" s="23">
        <v>3</v>
      </c>
      <c r="D98" s="23"/>
      <c r="E98" s="23" t="s">
        <v>61</v>
      </c>
      <c r="F98" s="23" t="s">
        <v>132</v>
      </c>
      <c r="G98" s="27">
        <v>2018</v>
      </c>
      <c r="H98" s="27">
        <v>20</v>
      </c>
      <c r="I98" s="27">
        <v>25</v>
      </c>
      <c r="J98" s="27">
        <v>20</v>
      </c>
      <c r="K98" s="27">
        <v>14</v>
      </c>
      <c r="L98" s="27">
        <v>14</v>
      </c>
      <c r="M98" s="27">
        <v>14</v>
      </c>
      <c r="N98" s="27"/>
      <c r="O98" s="27"/>
      <c r="P98" s="28">
        <v>42</v>
      </c>
      <c r="Q98" s="28">
        <v>29.376000000000001</v>
      </c>
      <c r="R98" s="28">
        <v>30.088000000000001</v>
      </c>
      <c r="S98" s="27">
        <v>80</v>
      </c>
      <c r="T98" s="29">
        <v>319.60000000000002</v>
      </c>
      <c r="U98" s="27">
        <v>235</v>
      </c>
      <c r="V98" s="27">
        <v>12</v>
      </c>
      <c r="W98" s="27">
        <v>105</v>
      </c>
      <c r="X98" s="29">
        <v>200</v>
      </c>
      <c r="Y98" s="27" t="s">
        <v>102</v>
      </c>
      <c r="Z98" s="27" t="s">
        <v>102</v>
      </c>
      <c r="AA98" s="29">
        <v>5</v>
      </c>
      <c r="AB98" s="29">
        <v>8</v>
      </c>
      <c r="AC98" s="29" t="s">
        <v>386</v>
      </c>
      <c r="AD98" s="29" t="s">
        <v>386</v>
      </c>
      <c r="AE98" s="29" t="s">
        <v>386</v>
      </c>
      <c r="AF98" s="29" t="s">
        <v>386</v>
      </c>
      <c r="AG98" s="27">
        <v>13</v>
      </c>
      <c r="AH98" s="27">
        <v>0</v>
      </c>
      <c r="AI98" s="27">
        <v>0</v>
      </c>
      <c r="AJ98" s="23" t="s">
        <v>151</v>
      </c>
      <c r="AK98" s="23" t="s">
        <v>152</v>
      </c>
      <c r="AL98" s="30">
        <v>3</v>
      </c>
      <c r="AM98" s="30" t="s">
        <v>121</v>
      </c>
      <c r="AN98" s="31" t="s">
        <v>220</v>
      </c>
      <c r="AO98" s="23" t="s">
        <v>66</v>
      </c>
      <c r="AP98" s="23" t="s">
        <v>71</v>
      </c>
      <c r="AQ98" s="34">
        <v>5503.01</v>
      </c>
      <c r="AR98" s="23" t="s">
        <v>78</v>
      </c>
      <c r="AS98" s="23">
        <v>55</v>
      </c>
      <c r="AT98" s="23">
        <v>3</v>
      </c>
      <c r="AU98" s="23">
        <v>1</v>
      </c>
    </row>
    <row r="99" spans="1:47">
      <c r="A99" s="26" t="s">
        <v>118</v>
      </c>
      <c r="B99" s="23" t="s">
        <v>122</v>
      </c>
      <c r="C99" s="23">
        <v>3</v>
      </c>
      <c r="D99" s="23"/>
      <c r="E99" s="23" t="s">
        <v>76</v>
      </c>
      <c r="F99" s="23" t="s">
        <v>133</v>
      </c>
      <c r="G99" s="27">
        <v>2020</v>
      </c>
      <c r="H99" s="27">
        <v>20</v>
      </c>
      <c r="I99" s="27">
        <v>25</v>
      </c>
      <c r="J99" s="27">
        <v>20</v>
      </c>
      <c r="K99" s="27">
        <v>14</v>
      </c>
      <c r="L99" s="27">
        <v>14</v>
      </c>
      <c r="M99" s="27">
        <v>14</v>
      </c>
      <c r="N99" s="27"/>
      <c r="O99" s="27"/>
      <c r="P99" s="28">
        <v>42</v>
      </c>
      <c r="Q99" s="28">
        <v>37.980000000000004</v>
      </c>
      <c r="R99" s="28">
        <v>20.37</v>
      </c>
      <c r="S99" s="27">
        <v>80</v>
      </c>
      <c r="T99" s="29">
        <v>326.40000000000003</v>
      </c>
      <c r="U99" s="27">
        <v>240</v>
      </c>
      <c r="V99" s="27">
        <v>14</v>
      </c>
      <c r="W99" s="27">
        <v>105</v>
      </c>
      <c r="X99" s="29">
        <v>200</v>
      </c>
      <c r="Y99" s="27" t="s">
        <v>69</v>
      </c>
      <c r="Z99" s="27" t="s">
        <v>69</v>
      </c>
      <c r="AA99" s="29">
        <v>5</v>
      </c>
      <c r="AB99" s="29">
        <v>8</v>
      </c>
      <c r="AC99" s="29" t="s">
        <v>386</v>
      </c>
      <c r="AD99" s="29" t="s">
        <v>386</v>
      </c>
      <c r="AE99" s="29" t="s">
        <v>386</v>
      </c>
      <c r="AF99" s="29" t="s">
        <v>386</v>
      </c>
      <c r="AG99" s="27">
        <v>13</v>
      </c>
      <c r="AH99" s="27">
        <v>0</v>
      </c>
      <c r="AI99" s="27">
        <v>0</v>
      </c>
      <c r="AJ99" s="23" t="s">
        <v>151</v>
      </c>
      <c r="AK99" s="23" t="s">
        <v>152</v>
      </c>
      <c r="AL99" s="30">
        <v>3</v>
      </c>
      <c r="AM99" s="30" t="s">
        <v>122</v>
      </c>
      <c r="AN99" s="31" t="s">
        <v>220</v>
      </c>
      <c r="AO99" s="23" t="s">
        <v>66</v>
      </c>
      <c r="AP99" s="23" t="s">
        <v>71</v>
      </c>
      <c r="AQ99" s="34">
        <v>5504</v>
      </c>
      <c r="AR99" s="23" t="s">
        <v>78</v>
      </c>
      <c r="AS99" s="23">
        <v>55</v>
      </c>
      <c r="AT99" s="23">
        <v>4</v>
      </c>
      <c r="AU99" s="23">
        <v>0</v>
      </c>
    </row>
    <row r="100" spans="1:47">
      <c r="A100" s="26" t="s">
        <v>118</v>
      </c>
      <c r="B100" s="23" t="s">
        <v>122</v>
      </c>
      <c r="C100" s="23">
        <v>3</v>
      </c>
      <c r="D100" s="23"/>
      <c r="E100" s="23" t="s">
        <v>76</v>
      </c>
      <c r="F100" s="23" t="s">
        <v>133</v>
      </c>
      <c r="G100" s="27">
        <v>2020</v>
      </c>
      <c r="H100" s="27">
        <v>20</v>
      </c>
      <c r="I100" s="27">
        <v>25</v>
      </c>
      <c r="J100" s="27">
        <v>20</v>
      </c>
      <c r="K100" s="27">
        <v>14</v>
      </c>
      <c r="L100" s="27">
        <v>14</v>
      </c>
      <c r="M100" s="27">
        <v>14</v>
      </c>
      <c r="N100" s="27"/>
      <c r="O100" s="27"/>
      <c r="P100" s="28">
        <v>42</v>
      </c>
      <c r="Q100" s="28">
        <v>37.980000000000004</v>
      </c>
      <c r="R100" s="28">
        <v>20.37</v>
      </c>
      <c r="S100" s="27">
        <v>80</v>
      </c>
      <c r="T100" s="29">
        <v>326.40000000000003</v>
      </c>
      <c r="U100" s="27">
        <v>240</v>
      </c>
      <c r="V100" s="27">
        <v>14</v>
      </c>
      <c r="W100" s="27">
        <v>105</v>
      </c>
      <c r="X100" s="29">
        <v>200</v>
      </c>
      <c r="Y100" s="27" t="s">
        <v>102</v>
      </c>
      <c r="Z100" s="27" t="s">
        <v>102</v>
      </c>
      <c r="AA100" s="29">
        <v>5</v>
      </c>
      <c r="AB100" s="29">
        <v>8</v>
      </c>
      <c r="AC100" s="29" t="s">
        <v>386</v>
      </c>
      <c r="AD100" s="29" t="s">
        <v>386</v>
      </c>
      <c r="AE100" s="29" t="s">
        <v>386</v>
      </c>
      <c r="AF100" s="29" t="s">
        <v>386</v>
      </c>
      <c r="AG100" s="27">
        <v>13</v>
      </c>
      <c r="AH100" s="27">
        <v>0</v>
      </c>
      <c r="AI100" s="27">
        <v>0</v>
      </c>
      <c r="AJ100" s="23" t="s">
        <v>151</v>
      </c>
      <c r="AK100" s="23" t="s">
        <v>152</v>
      </c>
      <c r="AL100" s="30">
        <v>3</v>
      </c>
      <c r="AM100" s="30" t="s">
        <v>122</v>
      </c>
      <c r="AN100" s="31" t="s">
        <v>220</v>
      </c>
      <c r="AO100" s="23" t="s">
        <v>66</v>
      </c>
      <c r="AP100" s="23" t="s">
        <v>71</v>
      </c>
      <c r="AQ100" s="34">
        <v>5504.01</v>
      </c>
      <c r="AR100" s="23" t="s">
        <v>78</v>
      </c>
      <c r="AS100" s="23">
        <v>55</v>
      </c>
      <c r="AT100" s="23">
        <v>4</v>
      </c>
      <c r="AU100" s="23">
        <v>1</v>
      </c>
    </row>
    <row r="101" spans="1:47">
      <c r="A101" s="26" t="s">
        <v>118</v>
      </c>
      <c r="B101" s="23" t="s">
        <v>120</v>
      </c>
      <c r="C101" s="23">
        <v>2</v>
      </c>
      <c r="D101" s="23"/>
      <c r="E101" s="23" t="s">
        <v>60</v>
      </c>
      <c r="F101" s="23" t="s">
        <v>134</v>
      </c>
      <c r="G101" s="27">
        <v>2017</v>
      </c>
      <c r="H101" s="27">
        <v>20</v>
      </c>
      <c r="I101" s="27">
        <v>25</v>
      </c>
      <c r="J101" s="27">
        <v>20</v>
      </c>
      <c r="K101" s="27">
        <v>14</v>
      </c>
      <c r="L101" s="27">
        <v>14</v>
      </c>
      <c r="M101" s="27"/>
      <c r="N101" s="27"/>
      <c r="O101" s="27"/>
      <c r="P101" s="28">
        <v>28</v>
      </c>
      <c r="Q101" s="28">
        <v>21.508000000000003</v>
      </c>
      <c r="R101" s="28">
        <v>31.816000000000003</v>
      </c>
      <c r="S101" s="27">
        <v>80</v>
      </c>
      <c r="T101" s="29">
        <v>280.16000000000003</v>
      </c>
      <c r="U101" s="27">
        <v>206</v>
      </c>
      <c r="V101" s="27">
        <v>11</v>
      </c>
      <c r="W101" s="27">
        <v>105</v>
      </c>
      <c r="X101" s="29">
        <v>200</v>
      </c>
      <c r="Y101" s="27" t="s">
        <v>69</v>
      </c>
      <c r="Z101" s="27" t="s">
        <v>69</v>
      </c>
      <c r="AA101" s="29">
        <v>5</v>
      </c>
      <c r="AB101" s="29">
        <v>8</v>
      </c>
      <c r="AC101" s="29" t="s">
        <v>386</v>
      </c>
      <c r="AD101" s="29" t="s">
        <v>386</v>
      </c>
      <c r="AE101" s="29" t="s">
        <v>386</v>
      </c>
      <c r="AF101" s="29" t="s">
        <v>386</v>
      </c>
      <c r="AG101" s="27">
        <v>13</v>
      </c>
      <c r="AH101" s="27">
        <v>0</v>
      </c>
      <c r="AI101" s="27">
        <v>0</v>
      </c>
      <c r="AJ101" s="23" t="s">
        <v>151</v>
      </c>
      <c r="AK101" s="23" t="s">
        <v>152</v>
      </c>
      <c r="AL101" s="30">
        <v>3</v>
      </c>
      <c r="AM101" s="30" t="s">
        <v>120</v>
      </c>
      <c r="AN101" s="31" t="s">
        <v>219</v>
      </c>
      <c r="AO101" s="23" t="s">
        <v>66</v>
      </c>
      <c r="AP101" s="23" t="s">
        <v>71</v>
      </c>
      <c r="AQ101" s="34">
        <v>5505</v>
      </c>
      <c r="AR101" s="23" t="s">
        <v>78</v>
      </c>
      <c r="AS101" s="23">
        <v>55</v>
      </c>
      <c r="AT101" s="23">
        <v>5</v>
      </c>
      <c r="AU101" s="23">
        <v>0</v>
      </c>
    </row>
    <row r="102" spans="1:47">
      <c r="A102" s="26" t="s">
        <v>118</v>
      </c>
      <c r="B102" s="23" t="s">
        <v>120</v>
      </c>
      <c r="C102" s="23">
        <v>2</v>
      </c>
      <c r="D102" s="23"/>
      <c r="E102" s="23" t="s">
        <v>60</v>
      </c>
      <c r="F102" s="23" t="s">
        <v>134</v>
      </c>
      <c r="G102" s="27">
        <v>2017</v>
      </c>
      <c r="H102" s="27">
        <v>20</v>
      </c>
      <c r="I102" s="27">
        <v>25</v>
      </c>
      <c r="J102" s="27">
        <v>20</v>
      </c>
      <c r="K102" s="27">
        <v>14</v>
      </c>
      <c r="L102" s="27">
        <v>14</v>
      </c>
      <c r="M102" s="27"/>
      <c r="N102" s="27"/>
      <c r="O102" s="27"/>
      <c r="P102" s="28">
        <v>28</v>
      </c>
      <c r="Q102" s="28">
        <v>21.508000000000003</v>
      </c>
      <c r="R102" s="28">
        <v>31.816000000000003</v>
      </c>
      <c r="S102" s="27">
        <v>80</v>
      </c>
      <c r="T102" s="29">
        <v>280.16000000000003</v>
      </c>
      <c r="U102" s="27">
        <v>206</v>
      </c>
      <c r="V102" s="27">
        <v>11</v>
      </c>
      <c r="W102" s="27">
        <v>105</v>
      </c>
      <c r="X102" s="29">
        <v>200</v>
      </c>
      <c r="Y102" s="27" t="s">
        <v>102</v>
      </c>
      <c r="Z102" s="27" t="s">
        <v>102</v>
      </c>
      <c r="AA102" s="29">
        <v>5</v>
      </c>
      <c r="AB102" s="29">
        <v>8</v>
      </c>
      <c r="AC102" s="29" t="s">
        <v>386</v>
      </c>
      <c r="AD102" s="29" t="s">
        <v>386</v>
      </c>
      <c r="AE102" s="29" t="s">
        <v>386</v>
      </c>
      <c r="AF102" s="29" t="s">
        <v>386</v>
      </c>
      <c r="AG102" s="27">
        <v>13</v>
      </c>
      <c r="AH102" s="27">
        <v>0</v>
      </c>
      <c r="AI102" s="27">
        <v>0</v>
      </c>
      <c r="AJ102" s="23" t="s">
        <v>151</v>
      </c>
      <c r="AK102" s="23" t="s">
        <v>152</v>
      </c>
      <c r="AL102" s="30">
        <v>3</v>
      </c>
      <c r="AM102" s="30" t="s">
        <v>120</v>
      </c>
      <c r="AN102" s="31" t="s">
        <v>219</v>
      </c>
      <c r="AO102" s="23" t="s">
        <v>66</v>
      </c>
      <c r="AP102" s="23" t="s">
        <v>71</v>
      </c>
      <c r="AQ102" s="34">
        <v>5505.01</v>
      </c>
      <c r="AR102" s="23" t="s">
        <v>78</v>
      </c>
      <c r="AS102" s="23">
        <v>55</v>
      </c>
      <c r="AT102" s="23">
        <v>5</v>
      </c>
      <c r="AU102" s="23">
        <v>1</v>
      </c>
    </row>
    <row r="103" spans="1:47">
      <c r="A103" s="26" t="s">
        <v>118</v>
      </c>
      <c r="B103" s="23" t="s">
        <v>121</v>
      </c>
      <c r="C103" s="23">
        <v>2</v>
      </c>
      <c r="D103" s="23"/>
      <c r="E103" s="23" t="s">
        <v>61</v>
      </c>
      <c r="F103" s="23" t="s">
        <v>135</v>
      </c>
      <c r="G103" s="27">
        <v>2018</v>
      </c>
      <c r="H103" s="27">
        <v>20</v>
      </c>
      <c r="I103" s="27">
        <v>25</v>
      </c>
      <c r="J103" s="27">
        <v>20</v>
      </c>
      <c r="K103" s="27">
        <v>14</v>
      </c>
      <c r="L103" s="27">
        <v>14</v>
      </c>
      <c r="M103" s="27"/>
      <c r="N103" s="27"/>
      <c r="O103" s="27"/>
      <c r="P103" s="28">
        <v>28</v>
      </c>
      <c r="Q103" s="28">
        <v>28.376000000000001</v>
      </c>
      <c r="R103" s="28">
        <v>29.088000000000001</v>
      </c>
      <c r="S103" s="27">
        <v>80</v>
      </c>
      <c r="T103" s="29">
        <v>319.60000000000002</v>
      </c>
      <c r="U103" s="27">
        <v>235</v>
      </c>
      <c r="V103" s="27">
        <v>12</v>
      </c>
      <c r="W103" s="27">
        <v>105</v>
      </c>
      <c r="X103" s="29">
        <v>200</v>
      </c>
      <c r="Y103" s="27" t="s">
        <v>69</v>
      </c>
      <c r="Z103" s="27" t="s">
        <v>69</v>
      </c>
      <c r="AA103" s="29">
        <v>5</v>
      </c>
      <c r="AB103" s="29">
        <v>8</v>
      </c>
      <c r="AC103" s="29" t="s">
        <v>386</v>
      </c>
      <c r="AD103" s="29" t="s">
        <v>386</v>
      </c>
      <c r="AE103" s="29" t="s">
        <v>386</v>
      </c>
      <c r="AF103" s="29" t="s">
        <v>386</v>
      </c>
      <c r="AG103" s="27">
        <v>13</v>
      </c>
      <c r="AH103" s="27">
        <v>0</v>
      </c>
      <c r="AI103" s="27">
        <v>0</v>
      </c>
      <c r="AJ103" s="23" t="s">
        <v>151</v>
      </c>
      <c r="AK103" s="23" t="s">
        <v>152</v>
      </c>
      <c r="AL103" s="30">
        <v>3</v>
      </c>
      <c r="AM103" s="30" t="s">
        <v>121</v>
      </c>
      <c r="AN103" s="31" t="s">
        <v>219</v>
      </c>
      <c r="AO103" s="23" t="s">
        <v>66</v>
      </c>
      <c r="AP103" s="23" t="s">
        <v>71</v>
      </c>
      <c r="AQ103" s="34">
        <v>5506</v>
      </c>
      <c r="AR103" s="23" t="s">
        <v>78</v>
      </c>
      <c r="AS103" s="23">
        <v>55</v>
      </c>
      <c r="AT103" s="23">
        <v>6</v>
      </c>
      <c r="AU103" s="23">
        <v>0</v>
      </c>
    </row>
    <row r="104" spans="1:47">
      <c r="A104" s="26" t="s">
        <v>118</v>
      </c>
      <c r="B104" s="23" t="s">
        <v>121</v>
      </c>
      <c r="C104" s="23">
        <v>2</v>
      </c>
      <c r="D104" s="23"/>
      <c r="E104" s="23" t="s">
        <v>61</v>
      </c>
      <c r="F104" s="23" t="s">
        <v>135</v>
      </c>
      <c r="G104" s="27">
        <v>2018</v>
      </c>
      <c r="H104" s="27">
        <v>20</v>
      </c>
      <c r="I104" s="27">
        <v>25</v>
      </c>
      <c r="J104" s="27">
        <v>20</v>
      </c>
      <c r="K104" s="27">
        <v>14</v>
      </c>
      <c r="L104" s="27">
        <v>14</v>
      </c>
      <c r="M104" s="27"/>
      <c r="N104" s="27"/>
      <c r="O104" s="27"/>
      <c r="P104" s="28">
        <v>28</v>
      </c>
      <c r="Q104" s="28">
        <v>28.376000000000001</v>
      </c>
      <c r="R104" s="28">
        <v>29.088000000000001</v>
      </c>
      <c r="S104" s="27">
        <v>80</v>
      </c>
      <c r="T104" s="29">
        <v>319.60000000000002</v>
      </c>
      <c r="U104" s="27">
        <v>235</v>
      </c>
      <c r="V104" s="27">
        <v>12</v>
      </c>
      <c r="W104" s="27">
        <v>105</v>
      </c>
      <c r="X104" s="29">
        <v>200</v>
      </c>
      <c r="Y104" s="27" t="s">
        <v>102</v>
      </c>
      <c r="Z104" s="27" t="s">
        <v>102</v>
      </c>
      <c r="AA104" s="29">
        <v>5</v>
      </c>
      <c r="AB104" s="29">
        <v>8</v>
      </c>
      <c r="AC104" s="29" t="s">
        <v>386</v>
      </c>
      <c r="AD104" s="29" t="s">
        <v>386</v>
      </c>
      <c r="AE104" s="29" t="s">
        <v>386</v>
      </c>
      <c r="AF104" s="29" t="s">
        <v>386</v>
      </c>
      <c r="AG104" s="27">
        <v>13</v>
      </c>
      <c r="AH104" s="27">
        <v>0</v>
      </c>
      <c r="AI104" s="27">
        <v>0</v>
      </c>
      <c r="AJ104" s="23" t="s">
        <v>151</v>
      </c>
      <c r="AK104" s="23" t="s">
        <v>152</v>
      </c>
      <c r="AL104" s="30">
        <v>3</v>
      </c>
      <c r="AM104" s="30" t="s">
        <v>121</v>
      </c>
      <c r="AN104" s="31" t="s">
        <v>219</v>
      </c>
      <c r="AO104" s="23" t="s">
        <v>66</v>
      </c>
      <c r="AP104" s="23" t="s">
        <v>71</v>
      </c>
      <c r="AQ104" s="34">
        <v>5506.01</v>
      </c>
      <c r="AR104" s="23" t="s">
        <v>78</v>
      </c>
      <c r="AS104" s="23">
        <v>55</v>
      </c>
      <c r="AT104" s="23">
        <v>6</v>
      </c>
      <c r="AU104" s="23">
        <v>1</v>
      </c>
    </row>
    <row r="105" spans="1:47">
      <c r="A105" s="26" t="s">
        <v>118</v>
      </c>
      <c r="B105" s="23" t="s">
        <v>122</v>
      </c>
      <c r="C105" s="23">
        <v>2</v>
      </c>
      <c r="D105" s="23"/>
      <c r="E105" s="23" t="s">
        <v>76</v>
      </c>
      <c r="F105" s="23" t="s">
        <v>136</v>
      </c>
      <c r="G105" s="27">
        <v>2020</v>
      </c>
      <c r="H105" s="27">
        <v>20</v>
      </c>
      <c r="I105" s="27">
        <v>25</v>
      </c>
      <c r="J105" s="27">
        <v>20</v>
      </c>
      <c r="K105" s="27">
        <v>14</v>
      </c>
      <c r="L105" s="27">
        <v>14</v>
      </c>
      <c r="M105" s="27"/>
      <c r="N105" s="27"/>
      <c r="O105" s="27"/>
      <c r="P105" s="28">
        <v>28</v>
      </c>
      <c r="Q105" s="28">
        <v>36.980000000000004</v>
      </c>
      <c r="R105" s="28">
        <v>19.37</v>
      </c>
      <c r="S105" s="27">
        <v>80</v>
      </c>
      <c r="T105" s="29">
        <v>326.40000000000003</v>
      </c>
      <c r="U105" s="27">
        <v>240</v>
      </c>
      <c r="V105" s="27">
        <v>14</v>
      </c>
      <c r="W105" s="27">
        <v>105</v>
      </c>
      <c r="X105" s="29">
        <v>200</v>
      </c>
      <c r="Y105" s="27" t="s">
        <v>69</v>
      </c>
      <c r="Z105" s="27" t="s">
        <v>69</v>
      </c>
      <c r="AA105" s="29">
        <v>5</v>
      </c>
      <c r="AB105" s="29">
        <v>8</v>
      </c>
      <c r="AC105" s="29" t="s">
        <v>386</v>
      </c>
      <c r="AD105" s="29" t="s">
        <v>386</v>
      </c>
      <c r="AE105" s="29" t="s">
        <v>386</v>
      </c>
      <c r="AF105" s="29" t="s">
        <v>386</v>
      </c>
      <c r="AG105" s="27">
        <v>13</v>
      </c>
      <c r="AH105" s="27">
        <v>0</v>
      </c>
      <c r="AI105" s="27">
        <v>0</v>
      </c>
      <c r="AJ105" s="23" t="s">
        <v>151</v>
      </c>
      <c r="AK105" s="23" t="s">
        <v>152</v>
      </c>
      <c r="AL105" s="30">
        <v>3</v>
      </c>
      <c r="AM105" s="30" t="s">
        <v>122</v>
      </c>
      <c r="AN105" s="31" t="s">
        <v>219</v>
      </c>
      <c r="AO105" s="23" t="s">
        <v>66</v>
      </c>
      <c r="AP105" s="23" t="s">
        <v>71</v>
      </c>
      <c r="AQ105" s="34">
        <v>5507</v>
      </c>
      <c r="AR105" s="23" t="s">
        <v>78</v>
      </c>
      <c r="AS105" s="23">
        <v>55</v>
      </c>
      <c r="AT105" s="23">
        <v>7</v>
      </c>
      <c r="AU105" s="23">
        <v>0</v>
      </c>
    </row>
    <row r="106" spans="1:47">
      <c r="A106" s="26" t="s">
        <v>118</v>
      </c>
      <c r="B106" s="23" t="s">
        <v>122</v>
      </c>
      <c r="C106" s="23">
        <v>2</v>
      </c>
      <c r="D106" s="23"/>
      <c r="E106" s="23" t="s">
        <v>76</v>
      </c>
      <c r="F106" s="23" t="s">
        <v>136</v>
      </c>
      <c r="G106" s="27">
        <v>2020</v>
      </c>
      <c r="H106" s="27">
        <v>20</v>
      </c>
      <c r="I106" s="27">
        <v>25</v>
      </c>
      <c r="J106" s="27">
        <v>20</v>
      </c>
      <c r="K106" s="27">
        <v>14</v>
      </c>
      <c r="L106" s="27">
        <v>14</v>
      </c>
      <c r="M106" s="27"/>
      <c r="N106" s="27"/>
      <c r="O106" s="27"/>
      <c r="P106" s="28">
        <v>28</v>
      </c>
      <c r="Q106" s="28">
        <v>36.980000000000004</v>
      </c>
      <c r="R106" s="28">
        <v>19.37</v>
      </c>
      <c r="S106" s="27">
        <v>80</v>
      </c>
      <c r="T106" s="29">
        <v>326.40000000000003</v>
      </c>
      <c r="U106" s="27">
        <v>240</v>
      </c>
      <c r="V106" s="27">
        <v>14</v>
      </c>
      <c r="W106" s="27">
        <v>105</v>
      </c>
      <c r="X106" s="29">
        <v>200</v>
      </c>
      <c r="Y106" s="27" t="s">
        <v>102</v>
      </c>
      <c r="Z106" s="27" t="s">
        <v>102</v>
      </c>
      <c r="AA106" s="29">
        <v>5</v>
      </c>
      <c r="AB106" s="29">
        <v>8</v>
      </c>
      <c r="AC106" s="29" t="s">
        <v>386</v>
      </c>
      <c r="AD106" s="29" t="s">
        <v>386</v>
      </c>
      <c r="AE106" s="29" t="s">
        <v>386</v>
      </c>
      <c r="AF106" s="29" t="s">
        <v>386</v>
      </c>
      <c r="AG106" s="27">
        <v>13</v>
      </c>
      <c r="AH106" s="27">
        <v>0</v>
      </c>
      <c r="AI106" s="27">
        <v>0</v>
      </c>
      <c r="AJ106" s="23" t="s">
        <v>151</v>
      </c>
      <c r="AK106" s="23" t="s">
        <v>152</v>
      </c>
      <c r="AL106" s="30">
        <v>3</v>
      </c>
      <c r="AM106" s="30" t="s">
        <v>122</v>
      </c>
      <c r="AN106" s="31" t="s">
        <v>219</v>
      </c>
      <c r="AO106" s="23" t="s">
        <v>66</v>
      </c>
      <c r="AP106" s="23" t="s">
        <v>71</v>
      </c>
      <c r="AQ106" s="34">
        <v>5507.01</v>
      </c>
      <c r="AR106" s="23" t="s">
        <v>78</v>
      </c>
      <c r="AS106" s="23">
        <v>55</v>
      </c>
      <c r="AT106" s="23">
        <v>7</v>
      </c>
      <c r="AU106" s="23">
        <v>1</v>
      </c>
    </row>
    <row r="107" spans="1:47">
      <c r="A107" s="26" t="s">
        <v>118</v>
      </c>
      <c r="B107" s="23" t="s">
        <v>123</v>
      </c>
      <c r="C107" s="23">
        <v>4</v>
      </c>
      <c r="D107" s="23"/>
      <c r="E107" s="23" t="s">
        <v>60</v>
      </c>
      <c r="F107" s="23" t="s">
        <v>137</v>
      </c>
      <c r="G107" s="27">
        <v>2017</v>
      </c>
      <c r="H107" s="27">
        <v>20</v>
      </c>
      <c r="I107" s="27">
        <v>25</v>
      </c>
      <c r="J107" s="27">
        <v>20</v>
      </c>
      <c r="K107" s="27">
        <v>14</v>
      </c>
      <c r="L107" s="27">
        <v>14</v>
      </c>
      <c r="M107" s="27">
        <v>14</v>
      </c>
      <c r="N107" s="27">
        <v>14</v>
      </c>
      <c r="O107" s="27"/>
      <c r="P107" s="28">
        <v>56</v>
      </c>
      <c r="Q107" s="28">
        <v>30.520000000000003</v>
      </c>
      <c r="R107" s="28">
        <v>42.88</v>
      </c>
      <c r="S107" s="27">
        <v>80</v>
      </c>
      <c r="T107" s="29">
        <v>360.40000000000003</v>
      </c>
      <c r="U107" s="27">
        <v>265</v>
      </c>
      <c r="V107" s="27">
        <v>17</v>
      </c>
      <c r="W107" s="27">
        <v>171</v>
      </c>
      <c r="X107" s="29">
        <v>200</v>
      </c>
      <c r="Y107" s="27" t="s">
        <v>69</v>
      </c>
      <c r="Z107" s="27" t="s">
        <v>69</v>
      </c>
      <c r="AA107" s="29">
        <v>2</v>
      </c>
      <c r="AB107" s="29">
        <v>8</v>
      </c>
      <c r="AC107" s="29">
        <v>1</v>
      </c>
      <c r="AD107" s="29">
        <v>8</v>
      </c>
      <c r="AE107" s="29" t="s">
        <v>386</v>
      </c>
      <c r="AF107" s="29" t="s">
        <v>386</v>
      </c>
      <c r="AG107" s="27">
        <v>10</v>
      </c>
      <c r="AH107" s="27">
        <v>9</v>
      </c>
      <c r="AI107" s="27">
        <v>0</v>
      </c>
      <c r="AJ107" s="23" t="s">
        <v>151</v>
      </c>
      <c r="AK107" s="23" t="s">
        <v>152</v>
      </c>
      <c r="AL107" s="30">
        <v>3</v>
      </c>
      <c r="AM107" s="30" t="s">
        <v>123</v>
      </c>
      <c r="AN107" s="31" t="s">
        <v>221</v>
      </c>
      <c r="AO107" s="23" t="s">
        <v>85</v>
      </c>
      <c r="AP107" s="23" t="s">
        <v>71</v>
      </c>
      <c r="AQ107" s="34">
        <v>5508</v>
      </c>
      <c r="AR107" s="23" t="s">
        <v>78</v>
      </c>
      <c r="AS107" s="23">
        <v>55</v>
      </c>
      <c r="AT107" s="23">
        <v>8</v>
      </c>
      <c r="AU107" s="23">
        <v>0</v>
      </c>
    </row>
    <row r="108" spans="1:47">
      <c r="A108" s="26" t="s">
        <v>118</v>
      </c>
      <c r="B108" s="23" t="s">
        <v>123</v>
      </c>
      <c r="C108" s="23">
        <v>4</v>
      </c>
      <c r="D108" s="23"/>
      <c r="E108" s="23" t="s">
        <v>60</v>
      </c>
      <c r="F108" s="23" t="s">
        <v>137</v>
      </c>
      <c r="G108" s="27">
        <v>2017</v>
      </c>
      <c r="H108" s="27">
        <v>20</v>
      </c>
      <c r="I108" s="27">
        <v>25</v>
      </c>
      <c r="J108" s="27">
        <v>20</v>
      </c>
      <c r="K108" s="27">
        <v>14</v>
      </c>
      <c r="L108" s="27">
        <v>14</v>
      </c>
      <c r="M108" s="27">
        <v>14</v>
      </c>
      <c r="N108" s="27">
        <v>14</v>
      </c>
      <c r="O108" s="27"/>
      <c r="P108" s="28">
        <v>56</v>
      </c>
      <c r="Q108" s="28">
        <v>30.520000000000003</v>
      </c>
      <c r="R108" s="28">
        <v>42.88</v>
      </c>
      <c r="S108" s="27">
        <v>80</v>
      </c>
      <c r="T108" s="29">
        <v>360.40000000000003</v>
      </c>
      <c r="U108" s="27">
        <v>265</v>
      </c>
      <c r="V108" s="27">
        <v>17</v>
      </c>
      <c r="W108" s="27">
        <v>171</v>
      </c>
      <c r="X108" s="29">
        <v>200</v>
      </c>
      <c r="Y108" s="27" t="s">
        <v>102</v>
      </c>
      <c r="Z108" s="27" t="s">
        <v>102</v>
      </c>
      <c r="AA108" s="29">
        <v>2</v>
      </c>
      <c r="AB108" s="29">
        <v>8</v>
      </c>
      <c r="AC108" s="29">
        <v>1</v>
      </c>
      <c r="AD108" s="29">
        <v>8</v>
      </c>
      <c r="AE108" s="29" t="s">
        <v>386</v>
      </c>
      <c r="AF108" s="29" t="s">
        <v>386</v>
      </c>
      <c r="AG108" s="27">
        <v>10</v>
      </c>
      <c r="AH108" s="27">
        <v>9</v>
      </c>
      <c r="AI108" s="27">
        <v>0</v>
      </c>
      <c r="AJ108" s="23" t="s">
        <v>151</v>
      </c>
      <c r="AK108" s="23" t="s">
        <v>152</v>
      </c>
      <c r="AL108" s="30">
        <v>3</v>
      </c>
      <c r="AM108" s="30" t="s">
        <v>123</v>
      </c>
      <c r="AN108" s="31" t="s">
        <v>221</v>
      </c>
      <c r="AO108" s="23" t="s">
        <v>85</v>
      </c>
      <c r="AP108" s="23" t="s">
        <v>71</v>
      </c>
      <c r="AQ108" s="34">
        <v>5508.01</v>
      </c>
      <c r="AR108" s="23" t="s">
        <v>78</v>
      </c>
      <c r="AS108" s="23">
        <v>55</v>
      </c>
      <c r="AT108" s="23">
        <v>8</v>
      </c>
      <c r="AU108" s="23">
        <v>1</v>
      </c>
    </row>
    <row r="109" spans="1:47">
      <c r="A109" s="26" t="s">
        <v>118</v>
      </c>
      <c r="B109" s="23" t="s">
        <v>124</v>
      </c>
      <c r="C109" s="23">
        <v>4</v>
      </c>
      <c r="D109" s="23"/>
      <c r="E109" s="23" t="s">
        <v>61</v>
      </c>
      <c r="F109" s="23" t="s">
        <v>138</v>
      </c>
      <c r="G109" s="27">
        <v>2018</v>
      </c>
      <c r="H109" s="27">
        <v>20</v>
      </c>
      <c r="I109" s="27">
        <v>25</v>
      </c>
      <c r="J109" s="27">
        <v>20</v>
      </c>
      <c r="K109" s="27">
        <v>14</v>
      </c>
      <c r="L109" s="27">
        <v>14</v>
      </c>
      <c r="M109" s="27">
        <v>14</v>
      </c>
      <c r="N109" s="27">
        <v>14</v>
      </c>
      <c r="O109" s="27"/>
      <c r="P109" s="28">
        <v>56</v>
      </c>
      <c r="Q109" s="28">
        <v>33.975999999999999</v>
      </c>
      <c r="R109" s="28">
        <v>31.92</v>
      </c>
      <c r="S109" s="27">
        <v>80</v>
      </c>
      <c r="T109" s="29">
        <v>319.60000000000002</v>
      </c>
      <c r="U109" s="27">
        <v>235</v>
      </c>
      <c r="V109" s="27">
        <v>18</v>
      </c>
      <c r="W109" s="27">
        <v>171</v>
      </c>
      <c r="X109" s="29">
        <v>200</v>
      </c>
      <c r="Y109" s="27" t="s">
        <v>69</v>
      </c>
      <c r="Z109" s="27" t="s">
        <v>69</v>
      </c>
      <c r="AA109" s="29">
        <v>2</v>
      </c>
      <c r="AB109" s="29">
        <v>8</v>
      </c>
      <c r="AC109" s="29">
        <v>1</v>
      </c>
      <c r="AD109" s="29">
        <v>8</v>
      </c>
      <c r="AE109" s="29" t="s">
        <v>386</v>
      </c>
      <c r="AF109" s="29" t="s">
        <v>386</v>
      </c>
      <c r="AG109" s="27">
        <v>10</v>
      </c>
      <c r="AH109" s="27">
        <v>9</v>
      </c>
      <c r="AI109" s="27">
        <v>0</v>
      </c>
      <c r="AJ109" s="23" t="s">
        <v>151</v>
      </c>
      <c r="AK109" s="23" t="s">
        <v>152</v>
      </c>
      <c r="AL109" s="30">
        <v>3</v>
      </c>
      <c r="AM109" s="30" t="s">
        <v>124</v>
      </c>
      <c r="AN109" s="31" t="s">
        <v>221</v>
      </c>
      <c r="AO109" s="23" t="s">
        <v>85</v>
      </c>
      <c r="AP109" s="23" t="s">
        <v>71</v>
      </c>
      <c r="AQ109" s="34">
        <v>5509</v>
      </c>
      <c r="AR109" s="23" t="s">
        <v>78</v>
      </c>
      <c r="AS109" s="23">
        <v>55</v>
      </c>
      <c r="AT109" s="23">
        <v>9</v>
      </c>
      <c r="AU109" s="23">
        <v>0</v>
      </c>
    </row>
    <row r="110" spans="1:47">
      <c r="A110" s="26" t="s">
        <v>118</v>
      </c>
      <c r="B110" s="23" t="s">
        <v>124</v>
      </c>
      <c r="C110" s="23">
        <v>4</v>
      </c>
      <c r="D110" s="23"/>
      <c r="E110" s="23" t="s">
        <v>61</v>
      </c>
      <c r="F110" s="23" t="s">
        <v>138</v>
      </c>
      <c r="G110" s="27">
        <v>2018</v>
      </c>
      <c r="H110" s="27">
        <v>20</v>
      </c>
      <c r="I110" s="27">
        <v>25</v>
      </c>
      <c r="J110" s="27">
        <v>20</v>
      </c>
      <c r="K110" s="27">
        <v>14</v>
      </c>
      <c r="L110" s="27">
        <v>14</v>
      </c>
      <c r="M110" s="27">
        <v>14</v>
      </c>
      <c r="N110" s="27">
        <v>14</v>
      </c>
      <c r="O110" s="27"/>
      <c r="P110" s="28">
        <v>56</v>
      </c>
      <c r="Q110" s="28">
        <v>33.975999999999999</v>
      </c>
      <c r="R110" s="28">
        <v>31.92</v>
      </c>
      <c r="S110" s="27">
        <v>80</v>
      </c>
      <c r="T110" s="29">
        <v>319.60000000000002</v>
      </c>
      <c r="U110" s="27">
        <v>235</v>
      </c>
      <c r="V110" s="27">
        <v>18</v>
      </c>
      <c r="W110" s="27">
        <v>171</v>
      </c>
      <c r="X110" s="29">
        <v>200</v>
      </c>
      <c r="Y110" s="27" t="s">
        <v>102</v>
      </c>
      <c r="Z110" s="27" t="s">
        <v>102</v>
      </c>
      <c r="AA110" s="29">
        <v>2</v>
      </c>
      <c r="AB110" s="29">
        <v>8</v>
      </c>
      <c r="AC110" s="29">
        <v>1</v>
      </c>
      <c r="AD110" s="29">
        <v>8</v>
      </c>
      <c r="AE110" s="29" t="s">
        <v>386</v>
      </c>
      <c r="AF110" s="29" t="s">
        <v>386</v>
      </c>
      <c r="AG110" s="27">
        <v>10</v>
      </c>
      <c r="AH110" s="27">
        <v>9</v>
      </c>
      <c r="AI110" s="27">
        <v>0</v>
      </c>
      <c r="AJ110" s="23" t="s">
        <v>151</v>
      </c>
      <c r="AK110" s="23" t="s">
        <v>152</v>
      </c>
      <c r="AL110" s="30">
        <v>3</v>
      </c>
      <c r="AM110" s="30" t="s">
        <v>124</v>
      </c>
      <c r="AN110" s="31" t="s">
        <v>221</v>
      </c>
      <c r="AO110" s="23" t="s">
        <v>85</v>
      </c>
      <c r="AP110" s="23" t="s">
        <v>71</v>
      </c>
      <c r="AQ110" s="34">
        <v>5509.01</v>
      </c>
      <c r="AR110" s="23" t="s">
        <v>78</v>
      </c>
      <c r="AS110" s="23">
        <v>55</v>
      </c>
      <c r="AT110" s="23">
        <v>9</v>
      </c>
      <c r="AU110" s="23">
        <v>1</v>
      </c>
    </row>
    <row r="111" spans="1:47">
      <c r="A111" s="26" t="s">
        <v>118</v>
      </c>
      <c r="B111" s="23" t="s">
        <v>125</v>
      </c>
      <c r="C111" s="23">
        <v>4</v>
      </c>
      <c r="D111" s="23"/>
      <c r="E111" s="23" t="s">
        <v>76</v>
      </c>
      <c r="F111" s="23" t="s">
        <v>139</v>
      </c>
      <c r="G111" s="27">
        <v>2021</v>
      </c>
      <c r="H111" s="27">
        <v>20</v>
      </c>
      <c r="I111" s="27">
        <v>25</v>
      </c>
      <c r="J111" s="27">
        <v>20</v>
      </c>
      <c r="K111" s="27">
        <v>14</v>
      </c>
      <c r="L111" s="27">
        <v>14</v>
      </c>
      <c r="M111" s="27">
        <v>14</v>
      </c>
      <c r="N111" s="27">
        <v>14</v>
      </c>
      <c r="O111" s="27"/>
      <c r="P111" s="28">
        <v>56</v>
      </c>
      <c r="Q111" s="28">
        <v>47.733999999999995</v>
      </c>
      <c r="R111" s="28">
        <v>23.826000000000001</v>
      </c>
      <c r="S111" s="27">
        <v>80</v>
      </c>
      <c r="T111" s="29">
        <v>363.12</v>
      </c>
      <c r="U111" s="27">
        <v>267</v>
      </c>
      <c r="V111" s="27">
        <v>22</v>
      </c>
      <c r="W111" s="27">
        <v>171</v>
      </c>
      <c r="X111" s="29">
        <v>200</v>
      </c>
      <c r="Y111" s="27" t="s">
        <v>69</v>
      </c>
      <c r="Z111" s="27" t="s">
        <v>69</v>
      </c>
      <c r="AA111" s="29">
        <v>2</v>
      </c>
      <c r="AB111" s="29">
        <v>8</v>
      </c>
      <c r="AC111" s="29">
        <v>1</v>
      </c>
      <c r="AD111" s="29">
        <v>8</v>
      </c>
      <c r="AE111" s="29" t="s">
        <v>386</v>
      </c>
      <c r="AF111" s="29" t="s">
        <v>386</v>
      </c>
      <c r="AG111" s="27">
        <v>10</v>
      </c>
      <c r="AH111" s="27">
        <v>9</v>
      </c>
      <c r="AI111" s="27">
        <v>0</v>
      </c>
      <c r="AJ111" s="23" t="s">
        <v>151</v>
      </c>
      <c r="AK111" s="23" t="s">
        <v>152</v>
      </c>
      <c r="AL111" s="30">
        <v>3</v>
      </c>
      <c r="AM111" s="30" t="s">
        <v>125</v>
      </c>
      <c r="AN111" s="31" t="s">
        <v>221</v>
      </c>
      <c r="AO111" s="23" t="s">
        <v>85</v>
      </c>
      <c r="AP111" s="23" t="s">
        <v>71</v>
      </c>
      <c r="AQ111" s="34">
        <v>5510</v>
      </c>
      <c r="AR111" s="23" t="s">
        <v>78</v>
      </c>
      <c r="AS111" s="23">
        <v>55</v>
      </c>
      <c r="AT111" s="23">
        <v>10</v>
      </c>
      <c r="AU111" s="23">
        <v>0</v>
      </c>
    </row>
    <row r="112" spans="1:47">
      <c r="A112" s="26" t="s">
        <v>118</v>
      </c>
      <c r="B112" s="23" t="s">
        <v>125</v>
      </c>
      <c r="C112" s="23">
        <v>4</v>
      </c>
      <c r="D112" s="23"/>
      <c r="E112" s="23" t="s">
        <v>76</v>
      </c>
      <c r="F112" s="23" t="s">
        <v>139</v>
      </c>
      <c r="G112" s="27">
        <v>2021</v>
      </c>
      <c r="H112" s="27">
        <v>20</v>
      </c>
      <c r="I112" s="27">
        <v>25</v>
      </c>
      <c r="J112" s="27">
        <v>20</v>
      </c>
      <c r="K112" s="27">
        <v>14</v>
      </c>
      <c r="L112" s="27">
        <v>14</v>
      </c>
      <c r="M112" s="27">
        <v>14</v>
      </c>
      <c r="N112" s="27">
        <v>14</v>
      </c>
      <c r="O112" s="27"/>
      <c r="P112" s="28">
        <v>56</v>
      </c>
      <c r="Q112" s="28">
        <v>47.733999999999995</v>
      </c>
      <c r="R112" s="28">
        <v>23.826000000000001</v>
      </c>
      <c r="S112" s="27">
        <v>80</v>
      </c>
      <c r="T112" s="29">
        <v>363.12</v>
      </c>
      <c r="U112" s="27">
        <v>267</v>
      </c>
      <c r="V112" s="27">
        <v>22</v>
      </c>
      <c r="W112" s="27">
        <v>171</v>
      </c>
      <c r="X112" s="29">
        <v>200</v>
      </c>
      <c r="Y112" s="27" t="s">
        <v>102</v>
      </c>
      <c r="Z112" s="27" t="s">
        <v>102</v>
      </c>
      <c r="AA112" s="29">
        <v>2</v>
      </c>
      <c r="AB112" s="29">
        <v>8</v>
      </c>
      <c r="AC112" s="29">
        <v>1</v>
      </c>
      <c r="AD112" s="29">
        <v>8</v>
      </c>
      <c r="AE112" s="29" t="s">
        <v>386</v>
      </c>
      <c r="AF112" s="29" t="s">
        <v>386</v>
      </c>
      <c r="AG112" s="27">
        <v>10</v>
      </c>
      <c r="AH112" s="27">
        <v>9</v>
      </c>
      <c r="AI112" s="27">
        <v>0</v>
      </c>
      <c r="AJ112" s="23" t="s">
        <v>151</v>
      </c>
      <c r="AK112" s="23" t="s">
        <v>152</v>
      </c>
      <c r="AL112" s="30">
        <v>3</v>
      </c>
      <c r="AM112" s="30" t="s">
        <v>125</v>
      </c>
      <c r="AN112" s="31" t="s">
        <v>221</v>
      </c>
      <c r="AO112" s="23" t="s">
        <v>85</v>
      </c>
      <c r="AP112" s="23" t="s">
        <v>71</v>
      </c>
      <c r="AQ112" s="34">
        <v>5510.01</v>
      </c>
      <c r="AR112" s="23" t="s">
        <v>78</v>
      </c>
      <c r="AS112" s="23">
        <v>55</v>
      </c>
      <c r="AT112" s="23">
        <v>10</v>
      </c>
      <c r="AU112" s="23">
        <v>1</v>
      </c>
    </row>
    <row r="113" spans="1:47">
      <c r="A113" s="26" t="s">
        <v>118</v>
      </c>
      <c r="B113" s="23" t="s">
        <v>123</v>
      </c>
      <c r="C113" s="23">
        <v>3</v>
      </c>
      <c r="D113" s="23"/>
      <c r="E113" s="23" t="s">
        <v>60</v>
      </c>
      <c r="F113" s="23" t="s">
        <v>140</v>
      </c>
      <c r="G113" s="27">
        <v>2017</v>
      </c>
      <c r="H113" s="27">
        <v>20</v>
      </c>
      <c r="I113" s="27">
        <v>25</v>
      </c>
      <c r="J113" s="27">
        <v>20</v>
      </c>
      <c r="K113" s="27">
        <v>14</v>
      </c>
      <c r="L113" s="27">
        <v>14</v>
      </c>
      <c r="M113" s="27">
        <v>14</v>
      </c>
      <c r="N113" s="27"/>
      <c r="O113" s="27"/>
      <c r="P113" s="28">
        <v>42</v>
      </c>
      <c r="Q113" s="28">
        <v>29.520000000000003</v>
      </c>
      <c r="R113" s="28">
        <v>41.88</v>
      </c>
      <c r="S113" s="27">
        <v>80</v>
      </c>
      <c r="T113" s="29">
        <v>360.40000000000003</v>
      </c>
      <c r="U113" s="27">
        <v>265</v>
      </c>
      <c r="V113" s="27">
        <v>17</v>
      </c>
      <c r="W113" s="27">
        <v>171</v>
      </c>
      <c r="X113" s="29">
        <v>200</v>
      </c>
      <c r="Y113" s="27" t="s">
        <v>69</v>
      </c>
      <c r="Z113" s="27" t="s">
        <v>69</v>
      </c>
      <c r="AA113" s="29">
        <v>2</v>
      </c>
      <c r="AB113" s="29">
        <v>8</v>
      </c>
      <c r="AC113" s="29">
        <v>1</v>
      </c>
      <c r="AD113" s="29">
        <v>8</v>
      </c>
      <c r="AE113" s="29" t="s">
        <v>386</v>
      </c>
      <c r="AF113" s="29" t="s">
        <v>386</v>
      </c>
      <c r="AG113" s="27">
        <v>10</v>
      </c>
      <c r="AH113" s="27">
        <v>9</v>
      </c>
      <c r="AI113" s="27">
        <v>0</v>
      </c>
      <c r="AJ113" s="23" t="s">
        <v>151</v>
      </c>
      <c r="AK113" s="23" t="s">
        <v>152</v>
      </c>
      <c r="AL113" s="30">
        <v>3</v>
      </c>
      <c r="AM113" s="30" t="s">
        <v>123</v>
      </c>
      <c r="AN113" s="31" t="s">
        <v>220</v>
      </c>
      <c r="AO113" s="23" t="s">
        <v>85</v>
      </c>
      <c r="AP113" s="23" t="s">
        <v>71</v>
      </c>
      <c r="AQ113" s="34">
        <v>5511</v>
      </c>
      <c r="AR113" s="23" t="s">
        <v>78</v>
      </c>
      <c r="AS113" s="23">
        <v>55</v>
      </c>
      <c r="AT113" s="23">
        <v>11</v>
      </c>
      <c r="AU113" s="23">
        <v>0</v>
      </c>
    </row>
    <row r="114" spans="1:47">
      <c r="A114" s="26" t="s">
        <v>118</v>
      </c>
      <c r="B114" s="23" t="s">
        <v>123</v>
      </c>
      <c r="C114" s="23">
        <v>3</v>
      </c>
      <c r="D114" s="23"/>
      <c r="E114" s="23" t="s">
        <v>60</v>
      </c>
      <c r="F114" s="23" t="s">
        <v>140</v>
      </c>
      <c r="G114" s="27">
        <v>2017</v>
      </c>
      <c r="H114" s="27">
        <v>20</v>
      </c>
      <c r="I114" s="27">
        <v>25</v>
      </c>
      <c r="J114" s="27">
        <v>20</v>
      </c>
      <c r="K114" s="27">
        <v>14</v>
      </c>
      <c r="L114" s="27">
        <v>14</v>
      </c>
      <c r="M114" s="27">
        <v>14</v>
      </c>
      <c r="N114" s="27"/>
      <c r="O114" s="27"/>
      <c r="P114" s="28">
        <v>42</v>
      </c>
      <c r="Q114" s="28">
        <v>29.520000000000003</v>
      </c>
      <c r="R114" s="28">
        <v>41.88</v>
      </c>
      <c r="S114" s="27">
        <v>80</v>
      </c>
      <c r="T114" s="29">
        <v>360.40000000000003</v>
      </c>
      <c r="U114" s="27">
        <v>265</v>
      </c>
      <c r="V114" s="27">
        <v>17</v>
      </c>
      <c r="W114" s="27">
        <v>171</v>
      </c>
      <c r="X114" s="29">
        <v>200</v>
      </c>
      <c r="Y114" s="27" t="s">
        <v>102</v>
      </c>
      <c r="Z114" s="27" t="s">
        <v>102</v>
      </c>
      <c r="AA114" s="29">
        <v>2</v>
      </c>
      <c r="AB114" s="29">
        <v>8</v>
      </c>
      <c r="AC114" s="29">
        <v>1</v>
      </c>
      <c r="AD114" s="29">
        <v>8</v>
      </c>
      <c r="AE114" s="29" t="s">
        <v>386</v>
      </c>
      <c r="AF114" s="29" t="s">
        <v>386</v>
      </c>
      <c r="AG114" s="27">
        <v>10</v>
      </c>
      <c r="AH114" s="27">
        <v>9</v>
      </c>
      <c r="AI114" s="27">
        <v>0</v>
      </c>
      <c r="AJ114" s="23" t="s">
        <v>151</v>
      </c>
      <c r="AK114" s="23" t="s">
        <v>152</v>
      </c>
      <c r="AL114" s="30">
        <v>3</v>
      </c>
      <c r="AM114" s="30" t="s">
        <v>123</v>
      </c>
      <c r="AN114" s="31" t="s">
        <v>220</v>
      </c>
      <c r="AO114" s="23" t="s">
        <v>85</v>
      </c>
      <c r="AP114" s="23" t="s">
        <v>71</v>
      </c>
      <c r="AQ114" s="34">
        <v>5511.01</v>
      </c>
      <c r="AR114" s="23" t="s">
        <v>78</v>
      </c>
      <c r="AS114" s="23">
        <v>55</v>
      </c>
      <c r="AT114" s="23">
        <v>11</v>
      </c>
      <c r="AU114" s="23">
        <v>1</v>
      </c>
    </row>
    <row r="115" spans="1:47">
      <c r="A115" s="26" t="s">
        <v>118</v>
      </c>
      <c r="B115" s="23" t="s">
        <v>124</v>
      </c>
      <c r="C115" s="23">
        <v>3</v>
      </c>
      <c r="D115" s="23"/>
      <c r="E115" s="23" t="s">
        <v>61</v>
      </c>
      <c r="F115" s="23" t="s">
        <v>141</v>
      </c>
      <c r="G115" s="27">
        <v>2018</v>
      </c>
      <c r="H115" s="27">
        <v>20</v>
      </c>
      <c r="I115" s="27">
        <v>25</v>
      </c>
      <c r="J115" s="27">
        <v>20</v>
      </c>
      <c r="K115" s="27">
        <v>14</v>
      </c>
      <c r="L115" s="27">
        <v>14</v>
      </c>
      <c r="M115" s="27">
        <v>14</v>
      </c>
      <c r="N115" s="27"/>
      <c r="O115" s="27"/>
      <c r="P115" s="28">
        <v>42</v>
      </c>
      <c r="Q115" s="28">
        <v>32.975999999999999</v>
      </c>
      <c r="R115" s="28">
        <v>30.92</v>
      </c>
      <c r="S115" s="27">
        <v>80</v>
      </c>
      <c r="T115" s="29">
        <v>319.60000000000002</v>
      </c>
      <c r="U115" s="27">
        <v>235</v>
      </c>
      <c r="V115" s="27">
        <v>18</v>
      </c>
      <c r="W115" s="27">
        <v>171</v>
      </c>
      <c r="X115" s="29">
        <v>200</v>
      </c>
      <c r="Y115" s="27" t="s">
        <v>69</v>
      </c>
      <c r="Z115" s="27" t="s">
        <v>69</v>
      </c>
      <c r="AA115" s="29">
        <v>2</v>
      </c>
      <c r="AB115" s="29">
        <v>8</v>
      </c>
      <c r="AC115" s="29">
        <v>1</v>
      </c>
      <c r="AD115" s="29">
        <v>8</v>
      </c>
      <c r="AE115" s="29" t="s">
        <v>386</v>
      </c>
      <c r="AF115" s="29" t="s">
        <v>386</v>
      </c>
      <c r="AG115" s="27">
        <v>10</v>
      </c>
      <c r="AH115" s="27">
        <v>9</v>
      </c>
      <c r="AI115" s="27">
        <v>0</v>
      </c>
      <c r="AJ115" s="23" t="s">
        <v>151</v>
      </c>
      <c r="AK115" s="23" t="s">
        <v>152</v>
      </c>
      <c r="AL115" s="30">
        <v>3</v>
      </c>
      <c r="AM115" s="30" t="s">
        <v>124</v>
      </c>
      <c r="AN115" s="31" t="s">
        <v>220</v>
      </c>
      <c r="AO115" s="23" t="s">
        <v>85</v>
      </c>
      <c r="AP115" s="23" t="s">
        <v>71</v>
      </c>
      <c r="AQ115" s="34">
        <v>5512</v>
      </c>
      <c r="AR115" s="23" t="s">
        <v>78</v>
      </c>
      <c r="AS115" s="23">
        <v>55</v>
      </c>
      <c r="AT115" s="23">
        <v>12</v>
      </c>
      <c r="AU115" s="23">
        <v>0</v>
      </c>
    </row>
    <row r="116" spans="1:47">
      <c r="A116" s="26" t="s">
        <v>118</v>
      </c>
      <c r="B116" s="23" t="s">
        <v>124</v>
      </c>
      <c r="C116" s="23">
        <v>3</v>
      </c>
      <c r="D116" s="23"/>
      <c r="E116" s="23" t="s">
        <v>61</v>
      </c>
      <c r="F116" s="23" t="s">
        <v>141</v>
      </c>
      <c r="G116" s="27">
        <v>2018</v>
      </c>
      <c r="H116" s="27">
        <v>20</v>
      </c>
      <c r="I116" s="27">
        <v>25</v>
      </c>
      <c r="J116" s="27">
        <v>20</v>
      </c>
      <c r="K116" s="27">
        <v>14</v>
      </c>
      <c r="L116" s="27">
        <v>14</v>
      </c>
      <c r="M116" s="27">
        <v>14</v>
      </c>
      <c r="N116" s="27"/>
      <c r="O116" s="27"/>
      <c r="P116" s="28">
        <v>42</v>
      </c>
      <c r="Q116" s="28">
        <v>32.975999999999999</v>
      </c>
      <c r="R116" s="28">
        <v>30.92</v>
      </c>
      <c r="S116" s="27">
        <v>80</v>
      </c>
      <c r="T116" s="29">
        <v>319.60000000000002</v>
      </c>
      <c r="U116" s="27">
        <v>235</v>
      </c>
      <c r="V116" s="27">
        <v>18</v>
      </c>
      <c r="W116" s="27">
        <v>171</v>
      </c>
      <c r="X116" s="29">
        <v>200</v>
      </c>
      <c r="Y116" s="27" t="s">
        <v>102</v>
      </c>
      <c r="Z116" s="27" t="s">
        <v>102</v>
      </c>
      <c r="AA116" s="29">
        <v>2</v>
      </c>
      <c r="AB116" s="29">
        <v>8</v>
      </c>
      <c r="AC116" s="29">
        <v>1</v>
      </c>
      <c r="AD116" s="29">
        <v>8</v>
      </c>
      <c r="AE116" s="29" t="s">
        <v>386</v>
      </c>
      <c r="AF116" s="29" t="s">
        <v>386</v>
      </c>
      <c r="AG116" s="27">
        <v>10</v>
      </c>
      <c r="AH116" s="27">
        <v>9</v>
      </c>
      <c r="AI116" s="27">
        <v>0</v>
      </c>
      <c r="AJ116" s="23" t="s">
        <v>151</v>
      </c>
      <c r="AK116" s="23" t="s">
        <v>152</v>
      </c>
      <c r="AL116" s="30">
        <v>3</v>
      </c>
      <c r="AM116" s="30" t="s">
        <v>124</v>
      </c>
      <c r="AN116" s="31" t="s">
        <v>220</v>
      </c>
      <c r="AO116" s="23" t="s">
        <v>85</v>
      </c>
      <c r="AP116" s="23" t="s">
        <v>71</v>
      </c>
      <c r="AQ116" s="34">
        <v>5512.01</v>
      </c>
      <c r="AR116" s="23" t="s">
        <v>78</v>
      </c>
      <c r="AS116" s="23">
        <v>55</v>
      </c>
      <c r="AT116" s="23">
        <v>12</v>
      </c>
      <c r="AU116" s="23">
        <v>1</v>
      </c>
    </row>
    <row r="117" spans="1:47">
      <c r="A117" s="26" t="s">
        <v>118</v>
      </c>
      <c r="B117" s="23" t="s">
        <v>125</v>
      </c>
      <c r="C117" s="23">
        <v>3</v>
      </c>
      <c r="D117" s="23"/>
      <c r="E117" s="23" t="s">
        <v>76</v>
      </c>
      <c r="F117" s="23" t="s">
        <v>142</v>
      </c>
      <c r="G117" s="27">
        <v>2021</v>
      </c>
      <c r="H117" s="27">
        <v>20</v>
      </c>
      <c r="I117" s="27">
        <v>25</v>
      </c>
      <c r="J117" s="27">
        <v>20</v>
      </c>
      <c r="K117" s="27">
        <v>14</v>
      </c>
      <c r="L117" s="27">
        <v>14</v>
      </c>
      <c r="M117" s="27">
        <v>14</v>
      </c>
      <c r="N117" s="27"/>
      <c r="O117" s="27"/>
      <c r="P117" s="28">
        <v>42</v>
      </c>
      <c r="Q117" s="28">
        <v>46.733999999999995</v>
      </c>
      <c r="R117" s="28">
        <v>22.826000000000001</v>
      </c>
      <c r="S117" s="27">
        <v>80</v>
      </c>
      <c r="T117" s="29">
        <v>363.12</v>
      </c>
      <c r="U117" s="27">
        <v>267</v>
      </c>
      <c r="V117" s="27">
        <v>22</v>
      </c>
      <c r="W117" s="27">
        <v>171</v>
      </c>
      <c r="X117" s="29">
        <v>200</v>
      </c>
      <c r="Y117" s="27" t="s">
        <v>69</v>
      </c>
      <c r="Z117" s="27" t="s">
        <v>69</v>
      </c>
      <c r="AA117" s="29">
        <v>2</v>
      </c>
      <c r="AB117" s="29">
        <v>8</v>
      </c>
      <c r="AC117" s="29">
        <v>1</v>
      </c>
      <c r="AD117" s="29">
        <v>8</v>
      </c>
      <c r="AE117" s="29" t="s">
        <v>386</v>
      </c>
      <c r="AF117" s="29" t="s">
        <v>386</v>
      </c>
      <c r="AG117" s="27">
        <v>10</v>
      </c>
      <c r="AH117" s="27">
        <v>9</v>
      </c>
      <c r="AI117" s="27">
        <v>0</v>
      </c>
      <c r="AJ117" s="23" t="s">
        <v>151</v>
      </c>
      <c r="AK117" s="23" t="s">
        <v>152</v>
      </c>
      <c r="AL117" s="30">
        <v>3</v>
      </c>
      <c r="AM117" s="30" t="s">
        <v>125</v>
      </c>
      <c r="AN117" s="31" t="s">
        <v>220</v>
      </c>
      <c r="AO117" s="23" t="s">
        <v>85</v>
      </c>
      <c r="AP117" s="23" t="s">
        <v>71</v>
      </c>
      <c r="AQ117" s="34">
        <v>5513</v>
      </c>
      <c r="AR117" s="23" t="s">
        <v>78</v>
      </c>
      <c r="AS117" s="23">
        <v>55</v>
      </c>
      <c r="AT117" s="23">
        <v>13</v>
      </c>
      <c r="AU117" s="23">
        <v>0</v>
      </c>
    </row>
    <row r="118" spans="1:47">
      <c r="A118" s="26" t="s">
        <v>118</v>
      </c>
      <c r="B118" s="23" t="s">
        <v>125</v>
      </c>
      <c r="C118" s="23">
        <v>3</v>
      </c>
      <c r="D118" s="23"/>
      <c r="E118" s="23" t="s">
        <v>76</v>
      </c>
      <c r="F118" s="23" t="s">
        <v>142</v>
      </c>
      <c r="G118" s="27">
        <v>2021</v>
      </c>
      <c r="H118" s="27">
        <v>20</v>
      </c>
      <c r="I118" s="27">
        <v>25</v>
      </c>
      <c r="J118" s="27">
        <v>20</v>
      </c>
      <c r="K118" s="27">
        <v>14</v>
      </c>
      <c r="L118" s="27">
        <v>14</v>
      </c>
      <c r="M118" s="27">
        <v>14</v>
      </c>
      <c r="N118" s="27"/>
      <c r="O118" s="27"/>
      <c r="P118" s="28">
        <v>42</v>
      </c>
      <c r="Q118" s="28">
        <v>46.733999999999995</v>
      </c>
      <c r="R118" s="28">
        <v>22.826000000000001</v>
      </c>
      <c r="S118" s="27">
        <v>80</v>
      </c>
      <c r="T118" s="29">
        <v>363.12</v>
      </c>
      <c r="U118" s="27">
        <v>267</v>
      </c>
      <c r="V118" s="27">
        <v>22</v>
      </c>
      <c r="W118" s="27">
        <v>171</v>
      </c>
      <c r="X118" s="29">
        <v>200</v>
      </c>
      <c r="Y118" s="27" t="s">
        <v>102</v>
      </c>
      <c r="Z118" s="27" t="s">
        <v>102</v>
      </c>
      <c r="AA118" s="29">
        <v>2</v>
      </c>
      <c r="AB118" s="29">
        <v>8</v>
      </c>
      <c r="AC118" s="29">
        <v>1</v>
      </c>
      <c r="AD118" s="29">
        <v>8</v>
      </c>
      <c r="AE118" s="29" t="s">
        <v>386</v>
      </c>
      <c r="AF118" s="29" t="s">
        <v>386</v>
      </c>
      <c r="AG118" s="27">
        <v>10</v>
      </c>
      <c r="AH118" s="27">
        <v>9</v>
      </c>
      <c r="AI118" s="27">
        <v>0</v>
      </c>
      <c r="AJ118" s="23" t="s">
        <v>151</v>
      </c>
      <c r="AK118" s="23" t="s">
        <v>152</v>
      </c>
      <c r="AL118" s="30">
        <v>3</v>
      </c>
      <c r="AM118" s="30" t="s">
        <v>125</v>
      </c>
      <c r="AN118" s="31" t="s">
        <v>220</v>
      </c>
      <c r="AO118" s="23" t="s">
        <v>85</v>
      </c>
      <c r="AP118" s="23" t="s">
        <v>71</v>
      </c>
      <c r="AQ118" s="34">
        <v>5513.01</v>
      </c>
      <c r="AR118" s="23" t="s">
        <v>78</v>
      </c>
      <c r="AS118" s="23">
        <v>55</v>
      </c>
      <c r="AT118" s="23">
        <v>13</v>
      </c>
      <c r="AU118" s="23">
        <v>1</v>
      </c>
    </row>
    <row r="119" spans="1:47">
      <c r="A119" s="26" t="s">
        <v>150</v>
      </c>
      <c r="B119" s="23" t="s">
        <v>127</v>
      </c>
      <c r="C119" s="23">
        <v>3</v>
      </c>
      <c r="D119" s="23"/>
      <c r="E119" s="23" t="s">
        <v>60</v>
      </c>
      <c r="F119" s="23" t="s">
        <v>143</v>
      </c>
      <c r="G119" s="27">
        <v>2023</v>
      </c>
      <c r="H119" s="27">
        <v>20</v>
      </c>
      <c r="I119" s="27">
        <v>25</v>
      </c>
      <c r="J119" s="27">
        <v>20</v>
      </c>
      <c r="K119" s="27">
        <v>14</v>
      </c>
      <c r="L119" s="27">
        <v>14</v>
      </c>
      <c r="M119" s="27">
        <v>7</v>
      </c>
      <c r="N119" s="27"/>
      <c r="O119" s="27"/>
      <c r="P119" s="28">
        <v>35</v>
      </c>
      <c r="Q119" s="28">
        <v>26.020000000000003</v>
      </c>
      <c r="R119" s="28">
        <v>40.293333333333337</v>
      </c>
      <c r="S119" s="27">
        <v>120</v>
      </c>
      <c r="T119" s="29">
        <v>360.40000000000003</v>
      </c>
      <c r="U119" s="27">
        <v>265</v>
      </c>
      <c r="V119" s="27">
        <v>11</v>
      </c>
      <c r="W119" s="27">
        <v>98</v>
      </c>
      <c r="X119" s="29">
        <v>200</v>
      </c>
      <c r="Y119" s="27" t="s">
        <v>69</v>
      </c>
      <c r="Z119" s="27" t="s">
        <v>69</v>
      </c>
      <c r="AA119" s="29">
        <v>5</v>
      </c>
      <c r="AB119" s="29">
        <v>8</v>
      </c>
      <c r="AC119" s="29" t="s">
        <v>386</v>
      </c>
      <c r="AD119" s="29" t="s">
        <v>386</v>
      </c>
      <c r="AE119" s="29" t="s">
        <v>386</v>
      </c>
      <c r="AF119" s="29" t="s">
        <v>386</v>
      </c>
      <c r="AG119" s="27">
        <v>13</v>
      </c>
      <c r="AH119" s="27">
        <v>0</v>
      </c>
      <c r="AI119" s="27">
        <v>0</v>
      </c>
      <c r="AJ119" s="23" t="s">
        <v>153</v>
      </c>
      <c r="AK119" s="23" t="s">
        <v>154</v>
      </c>
      <c r="AL119" s="30">
        <v>3</v>
      </c>
      <c r="AM119" s="30" t="s">
        <v>156</v>
      </c>
      <c r="AN119" s="31" t="s">
        <v>220</v>
      </c>
      <c r="AO119" s="23" t="s">
        <v>66</v>
      </c>
      <c r="AP119" s="23" t="s">
        <v>72</v>
      </c>
      <c r="AQ119" s="34">
        <v>5620</v>
      </c>
      <c r="AR119" s="23" t="s">
        <v>78</v>
      </c>
      <c r="AS119" s="23">
        <v>56</v>
      </c>
      <c r="AT119" s="23">
        <v>20</v>
      </c>
      <c r="AU119" s="23">
        <v>0</v>
      </c>
    </row>
    <row r="120" spans="1:47">
      <c r="A120" s="26" t="s">
        <v>150</v>
      </c>
      <c r="B120" s="23" t="s">
        <v>127</v>
      </c>
      <c r="C120" s="23">
        <v>2</v>
      </c>
      <c r="D120" s="23"/>
      <c r="E120" s="23" t="s">
        <v>60</v>
      </c>
      <c r="F120" s="23" t="s">
        <v>424</v>
      </c>
      <c r="G120" s="27">
        <v>2023</v>
      </c>
      <c r="H120" s="27">
        <v>20</v>
      </c>
      <c r="I120" s="27">
        <v>25</v>
      </c>
      <c r="J120" s="27">
        <v>20</v>
      </c>
      <c r="K120" s="27">
        <v>14</v>
      </c>
      <c r="L120" s="27">
        <v>14</v>
      </c>
      <c r="M120" s="27"/>
      <c r="N120" s="27"/>
      <c r="O120" s="27"/>
      <c r="P120" s="28">
        <v>28</v>
      </c>
      <c r="Q120" s="28">
        <v>25.520000000000003</v>
      </c>
      <c r="R120" s="28">
        <v>39.793333333333337</v>
      </c>
      <c r="S120" s="27">
        <v>120</v>
      </c>
      <c r="T120" s="29">
        <v>360.40000000000003</v>
      </c>
      <c r="U120" s="27">
        <v>265</v>
      </c>
      <c r="V120" s="27">
        <v>11</v>
      </c>
      <c r="W120" s="27">
        <v>98</v>
      </c>
      <c r="X120" s="29">
        <v>200</v>
      </c>
      <c r="Y120" s="27" t="s">
        <v>69</v>
      </c>
      <c r="Z120" s="27" t="s">
        <v>69</v>
      </c>
      <c r="AA120" s="29">
        <v>5</v>
      </c>
      <c r="AB120" s="29">
        <v>8</v>
      </c>
      <c r="AC120" s="29" t="s">
        <v>386</v>
      </c>
      <c r="AD120" s="29" t="s">
        <v>386</v>
      </c>
      <c r="AE120" s="29" t="s">
        <v>386</v>
      </c>
      <c r="AF120" s="29" t="s">
        <v>386</v>
      </c>
      <c r="AG120" s="27">
        <v>13</v>
      </c>
      <c r="AH120" s="27">
        <v>0</v>
      </c>
      <c r="AI120" s="27">
        <v>0</v>
      </c>
      <c r="AJ120" s="23" t="s">
        <v>153</v>
      </c>
      <c r="AK120" s="23" t="s">
        <v>154</v>
      </c>
      <c r="AL120" s="30">
        <v>3</v>
      </c>
      <c r="AM120" s="30" t="s">
        <v>156</v>
      </c>
      <c r="AN120" s="31" t="s">
        <v>219</v>
      </c>
      <c r="AO120" s="23" t="s">
        <v>66</v>
      </c>
      <c r="AP120" s="23" t="s">
        <v>72</v>
      </c>
      <c r="AQ120" s="34">
        <v>5621</v>
      </c>
      <c r="AR120" s="23" t="s">
        <v>78</v>
      </c>
      <c r="AS120" s="23">
        <v>56</v>
      </c>
      <c r="AT120" s="23">
        <v>21</v>
      </c>
      <c r="AU120" s="23">
        <v>0</v>
      </c>
    </row>
    <row r="121" spans="1:47">
      <c r="A121" s="26" t="s">
        <v>150</v>
      </c>
      <c r="B121" s="23" t="s">
        <v>129</v>
      </c>
      <c r="C121" s="23">
        <v>2</v>
      </c>
      <c r="D121" s="23"/>
      <c r="E121" s="23" t="s">
        <v>60</v>
      </c>
      <c r="F121" s="23" t="s">
        <v>144</v>
      </c>
      <c r="G121" s="27">
        <v>2023</v>
      </c>
      <c r="H121" s="27">
        <v>20</v>
      </c>
      <c r="I121" s="27">
        <v>25</v>
      </c>
      <c r="J121" s="27">
        <v>20</v>
      </c>
      <c r="K121" s="27">
        <v>14</v>
      </c>
      <c r="L121" s="27">
        <v>14</v>
      </c>
      <c r="M121" s="27"/>
      <c r="N121" s="27"/>
      <c r="O121" s="27"/>
      <c r="P121" s="28">
        <v>28</v>
      </c>
      <c r="Q121" s="28">
        <v>26.020000000000003</v>
      </c>
      <c r="R121" s="28">
        <v>39.953333333333333</v>
      </c>
      <c r="S121" s="27">
        <v>120</v>
      </c>
      <c r="T121" s="29">
        <v>360.40000000000003</v>
      </c>
      <c r="U121" s="27">
        <v>265</v>
      </c>
      <c r="V121" s="27">
        <v>12</v>
      </c>
      <c r="W121" s="27">
        <v>107</v>
      </c>
      <c r="X121" s="29">
        <v>200</v>
      </c>
      <c r="Y121" s="27" t="s">
        <v>69</v>
      </c>
      <c r="Z121" s="27" t="s">
        <v>69</v>
      </c>
      <c r="AA121" s="29">
        <v>6</v>
      </c>
      <c r="AB121" s="29">
        <v>8</v>
      </c>
      <c r="AC121" s="29" t="s">
        <v>386</v>
      </c>
      <c r="AD121" s="29" t="s">
        <v>386</v>
      </c>
      <c r="AE121" s="29" t="s">
        <v>386</v>
      </c>
      <c r="AF121" s="29" t="s">
        <v>386</v>
      </c>
      <c r="AG121" s="27">
        <v>14</v>
      </c>
      <c r="AH121" s="27">
        <v>0</v>
      </c>
      <c r="AI121" s="27">
        <v>0</v>
      </c>
      <c r="AJ121" s="23" t="s">
        <v>153</v>
      </c>
      <c r="AK121" s="23" t="s">
        <v>154</v>
      </c>
      <c r="AL121" s="30">
        <v>3</v>
      </c>
      <c r="AM121" s="30" t="s">
        <v>160</v>
      </c>
      <c r="AN121" s="31" t="s">
        <v>219</v>
      </c>
      <c r="AO121" s="23" t="s">
        <v>88</v>
      </c>
      <c r="AP121" s="23" t="s">
        <v>72</v>
      </c>
      <c r="AQ121" s="34">
        <v>5622</v>
      </c>
      <c r="AR121" s="23" t="s">
        <v>78</v>
      </c>
      <c r="AS121" s="23">
        <v>56</v>
      </c>
      <c r="AT121" s="23">
        <v>22</v>
      </c>
      <c r="AU121" s="23">
        <v>0</v>
      </c>
    </row>
    <row r="122" spans="1:47">
      <c r="A122" s="26" t="s">
        <v>150</v>
      </c>
      <c r="B122" s="23" t="s">
        <v>130</v>
      </c>
      <c r="C122" s="23">
        <v>3</v>
      </c>
      <c r="D122" s="23"/>
      <c r="E122" s="23" t="s">
        <v>60</v>
      </c>
      <c r="F122" s="23" t="s">
        <v>145</v>
      </c>
      <c r="G122" s="27">
        <v>2023</v>
      </c>
      <c r="H122" s="27">
        <v>20</v>
      </c>
      <c r="I122" s="27">
        <v>25</v>
      </c>
      <c r="J122" s="27">
        <v>20</v>
      </c>
      <c r="K122" s="27">
        <v>14</v>
      </c>
      <c r="L122" s="27">
        <v>14</v>
      </c>
      <c r="M122" s="27">
        <v>7</v>
      </c>
      <c r="N122" s="27"/>
      <c r="O122" s="27"/>
      <c r="P122" s="28">
        <v>35</v>
      </c>
      <c r="Q122" s="28">
        <v>27.520000000000003</v>
      </c>
      <c r="R122" s="28">
        <v>40.74666666666667</v>
      </c>
      <c r="S122" s="27">
        <v>120</v>
      </c>
      <c r="T122" s="29">
        <v>360.40000000000003</v>
      </c>
      <c r="U122" s="27">
        <v>265</v>
      </c>
      <c r="V122" s="27">
        <v>14</v>
      </c>
      <c r="W122" s="27">
        <v>121</v>
      </c>
      <c r="X122" s="29">
        <v>200</v>
      </c>
      <c r="Y122" s="27" t="s">
        <v>69</v>
      </c>
      <c r="Z122" s="27" t="s">
        <v>69</v>
      </c>
      <c r="AA122" s="29">
        <v>7</v>
      </c>
      <c r="AB122" s="29">
        <v>8</v>
      </c>
      <c r="AC122" s="29" t="s">
        <v>386</v>
      </c>
      <c r="AD122" s="29" t="s">
        <v>386</v>
      </c>
      <c r="AE122" s="29" t="s">
        <v>386</v>
      </c>
      <c r="AF122" s="29" t="s">
        <v>386</v>
      </c>
      <c r="AG122" s="27">
        <v>15</v>
      </c>
      <c r="AH122" s="27">
        <v>0</v>
      </c>
      <c r="AI122" s="27">
        <v>0</v>
      </c>
      <c r="AJ122" s="23" t="s">
        <v>153</v>
      </c>
      <c r="AK122" s="23" t="s">
        <v>154</v>
      </c>
      <c r="AL122" s="30">
        <v>3</v>
      </c>
      <c r="AM122" s="30" t="s">
        <v>161</v>
      </c>
      <c r="AN122" s="31" t="s">
        <v>220</v>
      </c>
      <c r="AO122" s="23" t="s">
        <v>159</v>
      </c>
      <c r="AP122" s="23" t="s">
        <v>72</v>
      </c>
      <c r="AQ122" s="34">
        <v>5623</v>
      </c>
      <c r="AR122" s="23" t="s">
        <v>78</v>
      </c>
      <c r="AS122" s="23">
        <v>56</v>
      </c>
      <c r="AT122" s="23">
        <v>23</v>
      </c>
      <c r="AU122" s="23">
        <v>0</v>
      </c>
    </row>
    <row r="123" spans="1:47">
      <c r="A123" s="26" t="s">
        <v>150</v>
      </c>
      <c r="B123" s="23" t="s">
        <v>126</v>
      </c>
      <c r="C123" s="23">
        <v>2</v>
      </c>
      <c r="D123" s="23"/>
      <c r="E123" s="23" t="s">
        <v>60</v>
      </c>
      <c r="F123" s="23" t="s">
        <v>146</v>
      </c>
      <c r="G123" s="27">
        <v>2022</v>
      </c>
      <c r="H123" s="27">
        <v>20</v>
      </c>
      <c r="I123" s="27">
        <v>25</v>
      </c>
      <c r="J123" s="27">
        <v>20</v>
      </c>
      <c r="K123" s="27">
        <v>7</v>
      </c>
      <c r="L123" s="27">
        <v>14</v>
      </c>
      <c r="M123" s="27"/>
      <c r="N123" s="27"/>
      <c r="O123" s="27"/>
      <c r="P123" s="28">
        <v>21</v>
      </c>
      <c r="Q123" s="28">
        <v>25.020000000000003</v>
      </c>
      <c r="R123" s="28">
        <v>39.293333333333337</v>
      </c>
      <c r="S123" s="27">
        <v>120</v>
      </c>
      <c r="T123" s="29">
        <v>360.40000000000003</v>
      </c>
      <c r="U123" s="27">
        <v>265</v>
      </c>
      <c r="V123" s="27">
        <v>11</v>
      </c>
      <c r="W123" s="27">
        <v>98</v>
      </c>
      <c r="X123" s="29">
        <v>185</v>
      </c>
      <c r="Y123" s="27" t="s">
        <v>69</v>
      </c>
      <c r="Z123" s="27" t="s">
        <v>69</v>
      </c>
      <c r="AA123" s="29">
        <v>5</v>
      </c>
      <c r="AB123" s="29">
        <v>8</v>
      </c>
      <c r="AC123" s="29" t="s">
        <v>386</v>
      </c>
      <c r="AD123" s="29" t="s">
        <v>386</v>
      </c>
      <c r="AE123" s="29" t="s">
        <v>386</v>
      </c>
      <c r="AF123" s="29" t="s">
        <v>386</v>
      </c>
      <c r="AG123" s="27">
        <v>13</v>
      </c>
      <c r="AH123" s="27">
        <v>0</v>
      </c>
      <c r="AI123" s="27">
        <v>0</v>
      </c>
      <c r="AJ123" s="23" t="s">
        <v>153</v>
      </c>
      <c r="AK123" s="23" t="s">
        <v>154</v>
      </c>
      <c r="AL123" s="30">
        <v>3</v>
      </c>
      <c r="AM123" s="30" t="s">
        <v>155</v>
      </c>
      <c r="AN123" s="31" t="s">
        <v>219</v>
      </c>
      <c r="AO123" s="23" t="s">
        <v>66</v>
      </c>
      <c r="AP123" s="23" t="s">
        <v>89</v>
      </c>
      <c r="AQ123" s="34">
        <v>5624</v>
      </c>
      <c r="AR123" s="23" t="s">
        <v>78</v>
      </c>
      <c r="AS123" s="23">
        <v>56</v>
      </c>
      <c r="AT123" s="23">
        <v>24</v>
      </c>
      <c r="AU123" s="23">
        <v>0</v>
      </c>
    </row>
    <row r="124" spans="1:47">
      <c r="A124" s="26" t="s">
        <v>150</v>
      </c>
      <c r="B124" s="23" t="s">
        <v>128</v>
      </c>
      <c r="C124" s="23">
        <v>2</v>
      </c>
      <c r="D124" s="23"/>
      <c r="E124" s="23" t="s">
        <v>60</v>
      </c>
      <c r="F124" s="23" t="s">
        <v>147</v>
      </c>
      <c r="G124" s="27">
        <v>2023</v>
      </c>
      <c r="H124" s="27">
        <v>20</v>
      </c>
      <c r="I124" s="27">
        <v>25</v>
      </c>
      <c r="J124" s="27">
        <v>20</v>
      </c>
      <c r="K124" s="27">
        <v>7</v>
      </c>
      <c r="L124" s="27">
        <v>14</v>
      </c>
      <c r="M124" s="27"/>
      <c r="N124" s="27"/>
      <c r="O124" s="27"/>
      <c r="P124" s="28">
        <v>21</v>
      </c>
      <c r="Q124" s="28">
        <v>25.520000000000003</v>
      </c>
      <c r="R124" s="28">
        <v>39.453333333333333</v>
      </c>
      <c r="S124" s="27">
        <v>120</v>
      </c>
      <c r="T124" s="29">
        <v>360.40000000000003</v>
      </c>
      <c r="U124" s="27">
        <v>265</v>
      </c>
      <c r="V124" s="27">
        <v>12</v>
      </c>
      <c r="W124" s="27">
        <v>107</v>
      </c>
      <c r="X124" s="29">
        <v>185</v>
      </c>
      <c r="Y124" s="27" t="s">
        <v>69</v>
      </c>
      <c r="Z124" s="27" t="s">
        <v>69</v>
      </c>
      <c r="AA124" s="29">
        <v>6</v>
      </c>
      <c r="AB124" s="29">
        <v>8</v>
      </c>
      <c r="AC124" s="29" t="s">
        <v>386</v>
      </c>
      <c r="AD124" s="29" t="s">
        <v>386</v>
      </c>
      <c r="AE124" s="29" t="s">
        <v>386</v>
      </c>
      <c r="AF124" s="29" t="s">
        <v>386</v>
      </c>
      <c r="AG124" s="27">
        <v>14</v>
      </c>
      <c r="AH124" s="27">
        <v>0</v>
      </c>
      <c r="AI124" s="27">
        <v>0</v>
      </c>
      <c r="AJ124" s="23" t="s">
        <v>153</v>
      </c>
      <c r="AK124" s="23" t="s">
        <v>154</v>
      </c>
      <c r="AL124" s="30">
        <v>3</v>
      </c>
      <c r="AM124" s="30" t="s">
        <v>157</v>
      </c>
      <c r="AN124" s="31" t="s">
        <v>219</v>
      </c>
      <c r="AO124" s="23" t="s">
        <v>88</v>
      </c>
      <c r="AP124" s="23" t="s">
        <v>89</v>
      </c>
      <c r="AQ124" s="34">
        <v>5625</v>
      </c>
      <c r="AR124" s="23" t="s">
        <v>78</v>
      </c>
      <c r="AS124" s="23">
        <v>56</v>
      </c>
      <c r="AT124" s="23">
        <v>25</v>
      </c>
      <c r="AU124" s="23">
        <v>0</v>
      </c>
    </row>
    <row r="125" spans="1:47">
      <c r="A125" s="26" t="s">
        <v>150</v>
      </c>
      <c r="B125" s="23" t="s">
        <v>128</v>
      </c>
      <c r="C125" s="23">
        <v>2</v>
      </c>
      <c r="D125" s="23"/>
      <c r="E125" s="23" t="s">
        <v>60</v>
      </c>
      <c r="F125" s="23" t="s">
        <v>147</v>
      </c>
      <c r="G125" s="27">
        <v>2023</v>
      </c>
      <c r="H125" s="27">
        <v>20</v>
      </c>
      <c r="I125" s="27">
        <v>25</v>
      </c>
      <c r="J125" s="27">
        <v>20</v>
      </c>
      <c r="K125" s="27">
        <v>7</v>
      </c>
      <c r="L125" s="27">
        <v>14</v>
      </c>
      <c r="M125" s="27"/>
      <c r="N125" s="27"/>
      <c r="O125" s="27"/>
      <c r="P125" s="28">
        <v>21</v>
      </c>
      <c r="Q125" s="28">
        <v>25.520000000000003</v>
      </c>
      <c r="R125" s="28">
        <v>39.453333333333333</v>
      </c>
      <c r="S125" s="27">
        <v>120</v>
      </c>
      <c r="T125" s="29">
        <v>360.40000000000003</v>
      </c>
      <c r="U125" s="27">
        <v>265</v>
      </c>
      <c r="V125" s="27">
        <v>12</v>
      </c>
      <c r="W125" s="27">
        <v>107</v>
      </c>
      <c r="X125" s="29">
        <v>185</v>
      </c>
      <c r="Y125" s="27" t="s">
        <v>186</v>
      </c>
      <c r="Z125" s="27" t="s">
        <v>186</v>
      </c>
      <c r="AA125" s="29">
        <v>6</v>
      </c>
      <c r="AB125" s="29">
        <v>8</v>
      </c>
      <c r="AC125" s="29" t="s">
        <v>386</v>
      </c>
      <c r="AD125" s="29" t="s">
        <v>386</v>
      </c>
      <c r="AE125" s="29" t="s">
        <v>386</v>
      </c>
      <c r="AF125" s="29" t="s">
        <v>386</v>
      </c>
      <c r="AG125" s="27">
        <v>14</v>
      </c>
      <c r="AH125" s="27">
        <v>0</v>
      </c>
      <c r="AI125" s="27">
        <v>0</v>
      </c>
      <c r="AJ125" s="23" t="s">
        <v>153</v>
      </c>
      <c r="AK125" s="23" t="s">
        <v>154</v>
      </c>
      <c r="AL125" s="30">
        <v>3</v>
      </c>
      <c r="AM125" s="30" t="s">
        <v>157</v>
      </c>
      <c r="AN125" s="31" t="s">
        <v>219</v>
      </c>
      <c r="AO125" s="23" t="s">
        <v>88</v>
      </c>
      <c r="AP125" s="23" t="s">
        <v>89</v>
      </c>
      <c r="AQ125" s="34">
        <v>5625.01</v>
      </c>
      <c r="AR125" s="23" t="s">
        <v>191</v>
      </c>
      <c r="AS125" s="23">
        <v>56</v>
      </c>
      <c r="AT125" s="23">
        <v>25</v>
      </c>
      <c r="AU125" s="23">
        <v>1</v>
      </c>
    </row>
    <row r="126" spans="1:47">
      <c r="A126" s="26" t="s">
        <v>150</v>
      </c>
      <c r="B126" s="23" t="s">
        <v>128</v>
      </c>
      <c r="C126" s="23">
        <v>2</v>
      </c>
      <c r="D126" s="23"/>
      <c r="E126" s="23" t="s">
        <v>60</v>
      </c>
      <c r="F126" s="23" t="s">
        <v>147</v>
      </c>
      <c r="G126" s="27">
        <v>2023</v>
      </c>
      <c r="H126" s="27">
        <v>20</v>
      </c>
      <c r="I126" s="27">
        <v>25</v>
      </c>
      <c r="J126" s="27">
        <v>20</v>
      </c>
      <c r="K126" s="27">
        <v>7</v>
      </c>
      <c r="L126" s="27">
        <v>14</v>
      </c>
      <c r="M126" s="27"/>
      <c r="N126" s="27"/>
      <c r="O126" s="27"/>
      <c r="P126" s="28">
        <v>21</v>
      </c>
      <c r="Q126" s="28">
        <v>25.520000000000003</v>
      </c>
      <c r="R126" s="28">
        <v>39.453333333333333</v>
      </c>
      <c r="S126" s="27">
        <v>120</v>
      </c>
      <c r="T126" s="29">
        <v>360.40000000000003</v>
      </c>
      <c r="U126" s="27">
        <v>265</v>
      </c>
      <c r="V126" s="27">
        <v>12</v>
      </c>
      <c r="W126" s="27">
        <v>107</v>
      </c>
      <c r="X126" s="29">
        <v>185</v>
      </c>
      <c r="Y126" s="27" t="s">
        <v>192</v>
      </c>
      <c r="Z126" s="27" t="s">
        <v>192</v>
      </c>
      <c r="AA126" s="29">
        <v>6</v>
      </c>
      <c r="AB126" s="29">
        <v>8</v>
      </c>
      <c r="AC126" s="29" t="s">
        <v>386</v>
      </c>
      <c r="AD126" s="29" t="s">
        <v>386</v>
      </c>
      <c r="AE126" s="29" t="s">
        <v>386</v>
      </c>
      <c r="AF126" s="29" t="s">
        <v>386</v>
      </c>
      <c r="AG126" s="27">
        <v>14</v>
      </c>
      <c r="AH126" s="27">
        <v>0</v>
      </c>
      <c r="AI126" s="27">
        <v>0</v>
      </c>
      <c r="AJ126" s="23" t="s">
        <v>153</v>
      </c>
      <c r="AK126" s="23" t="s">
        <v>154</v>
      </c>
      <c r="AL126" s="30">
        <v>3</v>
      </c>
      <c r="AM126" s="30" t="s">
        <v>157</v>
      </c>
      <c r="AN126" s="31" t="s">
        <v>219</v>
      </c>
      <c r="AO126" s="23" t="s">
        <v>88</v>
      </c>
      <c r="AP126" s="23" t="s">
        <v>89</v>
      </c>
      <c r="AQ126" s="34">
        <v>5625.02</v>
      </c>
      <c r="AR126" s="23" t="s">
        <v>191</v>
      </c>
      <c r="AS126" s="23">
        <v>56</v>
      </c>
      <c r="AT126" s="23">
        <v>25</v>
      </c>
      <c r="AU126" s="23">
        <v>2</v>
      </c>
    </row>
    <row r="127" spans="1:47">
      <c r="A127" s="26" t="s">
        <v>150</v>
      </c>
      <c r="B127" s="23" t="s">
        <v>149</v>
      </c>
      <c r="C127" s="23">
        <v>3</v>
      </c>
      <c r="D127" s="23"/>
      <c r="E127" s="23" t="s">
        <v>60</v>
      </c>
      <c r="F127" s="23" t="s">
        <v>148</v>
      </c>
      <c r="G127" s="27">
        <v>2024</v>
      </c>
      <c r="H127" s="27">
        <v>20</v>
      </c>
      <c r="I127" s="27">
        <v>25</v>
      </c>
      <c r="J127" s="27">
        <v>20</v>
      </c>
      <c r="K127" s="27">
        <v>7</v>
      </c>
      <c r="L127" s="27">
        <v>14</v>
      </c>
      <c r="M127" s="27">
        <v>7</v>
      </c>
      <c r="N127" s="27"/>
      <c r="O127" s="27"/>
      <c r="P127" s="28">
        <v>28</v>
      </c>
      <c r="Q127" s="28">
        <v>27.020000000000003</v>
      </c>
      <c r="R127" s="28">
        <v>40.24666666666667</v>
      </c>
      <c r="S127" s="27">
        <v>120</v>
      </c>
      <c r="T127" s="29">
        <v>360.40000000000003</v>
      </c>
      <c r="U127" s="27">
        <v>265</v>
      </c>
      <c r="V127" s="27">
        <v>14</v>
      </c>
      <c r="W127" s="27">
        <v>121</v>
      </c>
      <c r="X127" s="29">
        <v>185</v>
      </c>
      <c r="Y127" s="27" t="s">
        <v>69</v>
      </c>
      <c r="Z127" s="27" t="s">
        <v>69</v>
      </c>
      <c r="AA127" s="29">
        <v>7</v>
      </c>
      <c r="AB127" s="29">
        <v>8</v>
      </c>
      <c r="AC127" s="29" t="s">
        <v>386</v>
      </c>
      <c r="AD127" s="29" t="s">
        <v>386</v>
      </c>
      <c r="AE127" s="29" t="s">
        <v>386</v>
      </c>
      <c r="AF127" s="29" t="s">
        <v>386</v>
      </c>
      <c r="AG127" s="27">
        <v>15</v>
      </c>
      <c r="AH127" s="27">
        <v>0</v>
      </c>
      <c r="AI127" s="27">
        <v>0</v>
      </c>
      <c r="AJ127" s="23" t="s">
        <v>153</v>
      </c>
      <c r="AK127" s="23" t="s">
        <v>154</v>
      </c>
      <c r="AL127" s="30">
        <v>3</v>
      </c>
      <c r="AM127" s="30" t="s">
        <v>158</v>
      </c>
      <c r="AN127" s="31" t="s">
        <v>220</v>
      </c>
      <c r="AO127" s="23" t="s">
        <v>159</v>
      </c>
      <c r="AP127" s="23" t="s">
        <v>89</v>
      </c>
      <c r="AQ127" s="34">
        <v>5626</v>
      </c>
      <c r="AR127" s="23" t="s">
        <v>78</v>
      </c>
      <c r="AS127" s="23">
        <v>56</v>
      </c>
      <c r="AT127" s="23">
        <v>26</v>
      </c>
      <c r="AU127" s="23">
        <v>0</v>
      </c>
    </row>
    <row r="128" spans="1:47">
      <c r="A128" s="26" t="s">
        <v>322</v>
      </c>
      <c r="B128" s="23">
        <v>12</v>
      </c>
      <c r="C128" s="23">
        <v>2</v>
      </c>
      <c r="D128" s="23"/>
      <c r="E128" s="23" t="s">
        <v>60</v>
      </c>
      <c r="F128" s="23" t="s">
        <v>323</v>
      </c>
      <c r="G128" s="27">
        <v>2017</v>
      </c>
      <c r="H128" s="27">
        <v>20</v>
      </c>
      <c r="I128" s="27">
        <v>25</v>
      </c>
      <c r="J128" s="27">
        <v>20</v>
      </c>
      <c r="K128" s="27">
        <v>5</v>
      </c>
      <c r="L128" s="27">
        <v>5</v>
      </c>
      <c r="M128" s="27"/>
      <c r="N128" s="27"/>
      <c r="O128" s="27"/>
      <c r="P128" s="28">
        <v>10</v>
      </c>
      <c r="Q128" s="28">
        <v>29.746285714285719</v>
      </c>
      <c r="R128" s="28">
        <v>46.504952380952382</v>
      </c>
      <c r="S128" s="27">
        <v>110</v>
      </c>
      <c r="T128" s="29">
        <v>440.64000000000004</v>
      </c>
      <c r="U128" s="27">
        <v>324</v>
      </c>
      <c r="V128" s="27">
        <v>14</v>
      </c>
      <c r="W128" s="27">
        <v>49</v>
      </c>
      <c r="X128" s="29">
        <v>150</v>
      </c>
      <c r="Y128" s="27" t="s">
        <v>69</v>
      </c>
      <c r="Z128" s="27" t="s">
        <v>69</v>
      </c>
      <c r="AA128" s="29">
        <v>5</v>
      </c>
      <c r="AB128" s="29">
        <v>8</v>
      </c>
      <c r="AC128" s="29" t="s">
        <v>386</v>
      </c>
      <c r="AD128" s="29" t="s">
        <v>386</v>
      </c>
      <c r="AE128" s="29" t="s">
        <v>386</v>
      </c>
      <c r="AF128" s="29" t="s">
        <v>386</v>
      </c>
      <c r="AG128" s="27">
        <v>13</v>
      </c>
      <c r="AH128" s="27">
        <v>0</v>
      </c>
      <c r="AI128" s="27">
        <v>0</v>
      </c>
      <c r="AJ128" s="23" t="s">
        <v>336</v>
      </c>
      <c r="AK128" s="23" t="s">
        <v>330</v>
      </c>
      <c r="AL128" s="30">
        <v>3</v>
      </c>
      <c r="AM128" s="30"/>
      <c r="AN128" s="31" t="s">
        <v>219</v>
      </c>
      <c r="AO128" s="23" t="s">
        <v>66</v>
      </c>
      <c r="AP128" s="23" t="s">
        <v>211</v>
      </c>
      <c r="AQ128" s="34">
        <v>5700</v>
      </c>
      <c r="AR128" s="23" t="s">
        <v>78</v>
      </c>
      <c r="AS128" s="23">
        <v>57</v>
      </c>
      <c r="AT128" s="23">
        <v>0</v>
      </c>
      <c r="AU128" s="23">
        <v>0</v>
      </c>
    </row>
    <row r="129" spans="1:47">
      <c r="A129" s="26" t="s">
        <v>322</v>
      </c>
      <c r="B129" s="23">
        <v>13</v>
      </c>
      <c r="C129" s="23">
        <v>2</v>
      </c>
      <c r="D129" s="23"/>
      <c r="E129" s="23" t="s">
        <v>60</v>
      </c>
      <c r="F129" s="23" t="s">
        <v>327</v>
      </c>
      <c r="G129" s="27">
        <v>2017</v>
      </c>
      <c r="H129" s="27">
        <v>20</v>
      </c>
      <c r="I129" s="27">
        <v>25</v>
      </c>
      <c r="J129" s="27">
        <v>20</v>
      </c>
      <c r="K129" s="27">
        <v>5</v>
      </c>
      <c r="L129" s="27">
        <v>5</v>
      </c>
      <c r="M129" s="27"/>
      <c r="N129" s="27"/>
      <c r="O129" s="27"/>
      <c r="P129" s="28">
        <v>10</v>
      </c>
      <c r="Q129" s="28">
        <v>30.246285714285719</v>
      </c>
      <c r="R129" s="28">
        <v>46.631619047619054</v>
      </c>
      <c r="S129" s="27">
        <v>110</v>
      </c>
      <c r="T129" s="29">
        <v>440.64000000000004</v>
      </c>
      <c r="U129" s="27">
        <v>324</v>
      </c>
      <c r="V129" s="27">
        <v>15</v>
      </c>
      <c r="W129" s="27">
        <v>53</v>
      </c>
      <c r="X129" s="29">
        <v>150</v>
      </c>
      <c r="Y129" s="27" t="s">
        <v>69</v>
      </c>
      <c r="Z129" s="27" t="s">
        <v>69</v>
      </c>
      <c r="AA129" s="29">
        <v>6</v>
      </c>
      <c r="AB129" s="29">
        <v>8</v>
      </c>
      <c r="AC129" s="29" t="s">
        <v>386</v>
      </c>
      <c r="AD129" s="29" t="s">
        <v>386</v>
      </c>
      <c r="AE129" s="29" t="s">
        <v>386</v>
      </c>
      <c r="AF129" s="29" t="s">
        <v>386</v>
      </c>
      <c r="AG129" s="27">
        <v>14</v>
      </c>
      <c r="AH129" s="27">
        <v>0</v>
      </c>
      <c r="AI129" s="27">
        <v>0</v>
      </c>
      <c r="AJ129" s="23" t="s">
        <v>336</v>
      </c>
      <c r="AK129" s="23" t="s">
        <v>330</v>
      </c>
      <c r="AL129" s="30">
        <v>3</v>
      </c>
      <c r="AM129" s="30"/>
      <c r="AN129" s="31" t="s">
        <v>219</v>
      </c>
      <c r="AO129" s="23" t="s">
        <v>88</v>
      </c>
      <c r="AP129" s="23" t="s">
        <v>211</v>
      </c>
      <c r="AQ129" s="34">
        <v>5701</v>
      </c>
      <c r="AR129" s="23" t="s">
        <v>78</v>
      </c>
      <c r="AS129" s="23">
        <v>57</v>
      </c>
      <c r="AT129" s="23">
        <v>1</v>
      </c>
      <c r="AU129" s="23">
        <v>0</v>
      </c>
    </row>
    <row r="130" spans="1:47">
      <c r="A130" s="26" t="s">
        <v>322</v>
      </c>
      <c r="B130" s="23">
        <v>13</v>
      </c>
      <c r="C130" s="23">
        <v>2</v>
      </c>
      <c r="D130" s="23"/>
      <c r="E130" s="23" t="s">
        <v>60</v>
      </c>
      <c r="F130" s="23" t="s">
        <v>327</v>
      </c>
      <c r="G130" s="27">
        <v>2017</v>
      </c>
      <c r="H130" s="27">
        <v>20</v>
      </c>
      <c r="I130" s="27">
        <v>25</v>
      </c>
      <c r="J130" s="27">
        <v>20</v>
      </c>
      <c r="K130" s="27">
        <v>5</v>
      </c>
      <c r="L130" s="27">
        <v>5</v>
      </c>
      <c r="M130" s="27"/>
      <c r="N130" s="27"/>
      <c r="O130" s="27"/>
      <c r="P130" s="28">
        <v>10</v>
      </c>
      <c r="Q130" s="28">
        <v>30.246285714285719</v>
      </c>
      <c r="R130" s="28">
        <v>46.631619047619054</v>
      </c>
      <c r="S130" s="27">
        <v>110</v>
      </c>
      <c r="T130" s="29">
        <v>440.64000000000004</v>
      </c>
      <c r="U130" s="27">
        <v>324</v>
      </c>
      <c r="V130" s="27">
        <v>15</v>
      </c>
      <c r="W130" s="27">
        <v>53</v>
      </c>
      <c r="X130" s="29">
        <v>150</v>
      </c>
      <c r="Y130" s="27" t="s">
        <v>102</v>
      </c>
      <c r="Z130" s="27" t="s">
        <v>326</v>
      </c>
      <c r="AA130" s="29">
        <v>6</v>
      </c>
      <c r="AB130" s="29">
        <v>8</v>
      </c>
      <c r="AC130" s="29" t="s">
        <v>386</v>
      </c>
      <c r="AD130" s="29" t="s">
        <v>386</v>
      </c>
      <c r="AE130" s="29" t="s">
        <v>386</v>
      </c>
      <c r="AF130" s="29" t="s">
        <v>386</v>
      </c>
      <c r="AG130" s="27">
        <v>14</v>
      </c>
      <c r="AH130" s="27">
        <v>0</v>
      </c>
      <c r="AI130" s="27">
        <v>0</v>
      </c>
      <c r="AJ130" s="23" t="s">
        <v>336</v>
      </c>
      <c r="AK130" s="23" t="s">
        <v>330</v>
      </c>
      <c r="AL130" s="30">
        <v>3</v>
      </c>
      <c r="AM130" s="30"/>
      <c r="AN130" s="31" t="s">
        <v>219</v>
      </c>
      <c r="AO130" s="23" t="s">
        <v>88</v>
      </c>
      <c r="AP130" s="23" t="s">
        <v>211</v>
      </c>
      <c r="AQ130" s="34">
        <v>5701.01</v>
      </c>
      <c r="AR130" s="23" t="s">
        <v>78</v>
      </c>
      <c r="AS130" s="23">
        <v>57</v>
      </c>
      <c r="AT130" s="23">
        <v>1</v>
      </c>
      <c r="AU130" s="23">
        <v>1</v>
      </c>
    </row>
    <row r="131" spans="1:47">
      <c r="A131" s="26" t="s">
        <v>322</v>
      </c>
      <c r="B131" s="23">
        <v>13</v>
      </c>
      <c r="C131" s="23">
        <v>2</v>
      </c>
      <c r="D131" s="23"/>
      <c r="E131" s="23" t="s">
        <v>60</v>
      </c>
      <c r="F131" s="23" t="s">
        <v>327</v>
      </c>
      <c r="G131" s="27">
        <v>2017</v>
      </c>
      <c r="H131" s="27">
        <v>20</v>
      </c>
      <c r="I131" s="27">
        <v>25</v>
      </c>
      <c r="J131" s="27">
        <v>20</v>
      </c>
      <c r="K131" s="27">
        <v>5</v>
      </c>
      <c r="L131" s="27">
        <v>5</v>
      </c>
      <c r="M131" s="27"/>
      <c r="N131" s="27"/>
      <c r="O131" s="27"/>
      <c r="P131" s="28">
        <v>10</v>
      </c>
      <c r="Q131" s="28">
        <v>30.246285714285719</v>
      </c>
      <c r="R131" s="28">
        <v>46.631619047619054</v>
      </c>
      <c r="S131" s="27">
        <v>110</v>
      </c>
      <c r="T131" s="29">
        <v>440.64000000000004</v>
      </c>
      <c r="U131" s="27">
        <v>324</v>
      </c>
      <c r="V131" s="27">
        <v>15</v>
      </c>
      <c r="W131" s="27">
        <v>53</v>
      </c>
      <c r="X131" s="29">
        <v>150</v>
      </c>
      <c r="Y131" s="27" t="s">
        <v>186</v>
      </c>
      <c r="Z131" s="27" t="s">
        <v>325</v>
      </c>
      <c r="AA131" s="29">
        <v>6</v>
      </c>
      <c r="AB131" s="29">
        <v>8</v>
      </c>
      <c r="AC131" s="29" t="s">
        <v>386</v>
      </c>
      <c r="AD131" s="29" t="s">
        <v>386</v>
      </c>
      <c r="AE131" s="29" t="s">
        <v>386</v>
      </c>
      <c r="AF131" s="29" t="s">
        <v>386</v>
      </c>
      <c r="AG131" s="27">
        <v>14</v>
      </c>
      <c r="AH131" s="27">
        <v>0</v>
      </c>
      <c r="AI131" s="27">
        <v>0</v>
      </c>
      <c r="AJ131" s="23" t="s">
        <v>336</v>
      </c>
      <c r="AK131" s="23" t="s">
        <v>330</v>
      </c>
      <c r="AL131" s="30">
        <v>3</v>
      </c>
      <c r="AM131" s="30"/>
      <c r="AN131" s="31" t="s">
        <v>219</v>
      </c>
      <c r="AO131" s="23" t="s">
        <v>88</v>
      </c>
      <c r="AP131" s="23" t="s">
        <v>211</v>
      </c>
      <c r="AQ131" s="34">
        <v>5701.02</v>
      </c>
      <c r="AR131" s="23" t="s">
        <v>78</v>
      </c>
      <c r="AS131" s="23">
        <v>57</v>
      </c>
      <c r="AT131" s="23">
        <v>1</v>
      </c>
      <c r="AU131" s="23">
        <v>2</v>
      </c>
    </row>
    <row r="132" spans="1:47">
      <c r="A132" s="26" t="s">
        <v>322</v>
      </c>
      <c r="B132" s="23">
        <v>13.5</v>
      </c>
      <c r="C132" s="23">
        <v>2</v>
      </c>
      <c r="D132" s="23"/>
      <c r="E132" s="23" t="s">
        <v>60</v>
      </c>
      <c r="F132" s="23" t="s">
        <v>328</v>
      </c>
      <c r="G132" s="27">
        <v>2017</v>
      </c>
      <c r="H132" s="27">
        <v>20</v>
      </c>
      <c r="I132" s="27">
        <v>25</v>
      </c>
      <c r="J132" s="27">
        <v>20</v>
      </c>
      <c r="K132" s="27">
        <v>5</v>
      </c>
      <c r="L132" s="27">
        <v>5</v>
      </c>
      <c r="M132" s="27"/>
      <c r="N132" s="27"/>
      <c r="O132" s="27"/>
      <c r="P132" s="28">
        <v>10</v>
      </c>
      <c r="Q132" s="28">
        <v>34.690285714285714</v>
      </c>
      <c r="R132" s="28">
        <v>54.64628571428571</v>
      </c>
      <c r="S132" s="27">
        <v>110</v>
      </c>
      <c r="T132" s="29">
        <v>519.52</v>
      </c>
      <c r="U132" s="27">
        <v>382</v>
      </c>
      <c r="V132" s="27">
        <v>16</v>
      </c>
      <c r="W132" s="27">
        <v>57</v>
      </c>
      <c r="X132" s="29">
        <v>150</v>
      </c>
      <c r="Y132" s="27" t="s">
        <v>69</v>
      </c>
      <c r="Z132" s="27" t="s">
        <v>69</v>
      </c>
      <c r="AA132" s="29">
        <v>6</v>
      </c>
      <c r="AB132" s="29">
        <v>8</v>
      </c>
      <c r="AC132" s="29" t="s">
        <v>386</v>
      </c>
      <c r="AD132" s="29" t="s">
        <v>386</v>
      </c>
      <c r="AE132" s="29" t="s">
        <v>386</v>
      </c>
      <c r="AF132" s="29" t="s">
        <v>386</v>
      </c>
      <c r="AG132" s="27">
        <v>14</v>
      </c>
      <c r="AH132" s="27">
        <v>0</v>
      </c>
      <c r="AI132" s="27">
        <v>0</v>
      </c>
      <c r="AJ132" s="23" t="s">
        <v>336</v>
      </c>
      <c r="AK132" s="23" t="s">
        <v>330</v>
      </c>
      <c r="AL132" s="30">
        <v>3</v>
      </c>
      <c r="AM132" s="30"/>
      <c r="AN132" s="31" t="s">
        <v>219</v>
      </c>
      <c r="AO132" s="23" t="s">
        <v>324</v>
      </c>
      <c r="AP132" s="23" t="s">
        <v>211</v>
      </c>
      <c r="AQ132" s="34">
        <v>5702</v>
      </c>
      <c r="AR132" s="23" t="s">
        <v>78</v>
      </c>
      <c r="AS132" s="23">
        <v>57</v>
      </c>
      <c r="AT132" s="23">
        <v>2</v>
      </c>
      <c r="AU132" s="23">
        <v>0</v>
      </c>
    </row>
    <row r="133" spans="1:47">
      <c r="A133" s="26" t="s">
        <v>322</v>
      </c>
      <c r="B133" s="23">
        <v>14</v>
      </c>
      <c r="C133" s="23">
        <v>2</v>
      </c>
      <c r="D133" s="23"/>
      <c r="E133" s="23" t="s">
        <v>60</v>
      </c>
      <c r="F133" s="23" t="s">
        <v>329</v>
      </c>
      <c r="G133" s="27">
        <v>2017</v>
      </c>
      <c r="H133" s="27">
        <v>20</v>
      </c>
      <c r="I133" s="27">
        <v>25</v>
      </c>
      <c r="J133" s="27">
        <v>20</v>
      </c>
      <c r="K133" s="27">
        <v>5</v>
      </c>
      <c r="L133" s="27">
        <v>5</v>
      </c>
      <c r="M133" s="27"/>
      <c r="N133" s="27"/>
      <c r="O133" s="27"/>
      <c r="P133" s="28">
        <v>10</v>
      </c>
      <c r="Q133" s="28">
        <v>35.190285714285714</v>
      </c>
      <c r="R133" s="28">
        <v>54.772952380952383</v>
      </c>
      <c r="S133" s="27">
        <v>110</v>
      </c>
      <c r="T133" s="29">
        <v>519.52</v>
      </c>
      <c r="U133" s="27">
        <v>382</v>
      </c>
      <c r="V133" s="27">
        <v>17</v>
      </c>
      <c r="W133" s="27">
        <v>61</v>
      </c>
      <c r="X133" s="29">
        <v>150</v>
      </c>
      <c r="Y133" s="27" t="s">
        <v>69</v>
      </c>
      <c r="Z133" s="27" t="s">
        <v>69</v>
      </c>
      <c r="AA133" s="29">
        <v>6</v>
      </c>
      <c r="AB133" s="29">
        <v>8</v>
      </c>
      <c r="AC133" s="29" t="s">
        <v>386</v>
      </c>
      <c r="AD133" s="29" t="s">
        <v>386</v>
      </c>
      <c r="AE133" s="29" t="s">
        <v>386</v>
      </c>
      <c r="AF133" s="29" t="s">
        <v>386</v>
      </c>
      <c r="AG133" s="27">
        <v>14</v>
      </c>
      <c r="AH133" s="27">
        <v>0</v>
      </c>
      <c r="AI133" s="27">
        <v>0</v>
      </c>
      <c r="AJ133" s="23" t="s">
        <v>336</v>
      </c>
      <c r="AK133" s="23" t="s">
        <v>330</v>
      </c>
      <c r="AL133" s="30">
        <v>3</v>
      </c>
      <c r="AM133" s="30"/>
      <c r="AN133" s="31" t="s">
        <v>219</v>
      </c>
      <c r="AO133" s="23" t="s">
        <v>159</v>
      </c>
      <c r="AP133" s="23" t="s">
        <v>211</v>
      </c>
      <c r="AQ133" s="34">
        <v>5703</v>
      </c>
      <c r="AR133" s="23" t="s">
        <v>78</v>
      </c>
      <c r="AS133" s="23">
        <v>57</v>
      </c>
      <c r="AT133" s="23">
        <v>3</v>
      </c>
      <c r="AU133" s="23">
        <v>0</v>
      </c>
    </row>
    <row r="134" spans="1:47">
      <c r="A134" s="26" t="s">
        <v>73</v>
      </c>
      <c r="B134" s="23" t="s">
        <v>55</v>
      </c>
      <c r="C134" s="23">
        <v>3</v>
      </c>
      <c r="D134" s="23"/>
      <c r="E134" s="23" t="s">
        <v>60</v>
      </c>
      <c r="F134" s="23" t="s">
        <v>6</v>
      </c>
      <c r="G134" s="27">
        <v>2007</v>
      </c>
      <c r="H134" s="27">
        <v>20</v>
      </c>
      <c r="I134" s="27">
        <v>25</v>
      </c>
      <c r="J134" s="27">
        <v>20</v>
      </c>
      <c r="K134" s="27">
        <v>14</v>
      </c>
      <c r="L134" s="27">
        <v>14</v>
      </c>
      <c r="M134" s="27">
        <v>14</v>
      </c>
      <c r="N134" s="27"/>
      <c r="O134" s="27"/>
      <c r="P134" s="28">
        <v>42</v>
      </c>
      <c r="Q134" s="28">
        <v>22.78</v>
      </c>
      <c r="R134" s="28">
        <v>33.333333333333336</v>
      </c>
      <c r="S134" s="27">
        <v>75</v>
      </c>
      <c r="T134" s="29">
        <v>285.60000000000002</v>
      </c>
      <c r="U134" s="27">
        <v>210</v>
      </c>
      <c r="V134" s="27">
        <v>11</v>
      </c>
      <c r="W134" s="27">
        <v>101</v>
      </c>
      <c r="X134" s="29">
        <v>200</v>
      </c>
      <c r="Y134" s="27" t="s">
        <v>69</v>
      </c>
      <c r="Z134" s="27" t="s">
        <v>69</v>
      </c>
      <c r="AA134" s="29">
        <v>5</v>
      </c>
      <c r="AB134" s="29">
        <v>8</v>
      </c>
      <c r="AC134" s="29" t="s">
        <v>386</v>
      </c>
      <c r="AD134" s="29" t="s">
        <v>386</v>
      </c>
      <c r="AE134" s="29" t="s">
        <v>386</v>
      </c>
      <c r="AF134" s="29" t="s">
        <v>386</v>
      </c>
      <c r="AG134" s="27">
        <v>13</v>
      </c>
      <c r="AH134" s="27">
        <v>0</v>
      </c>
      <c r="AI134" s="27">
        <v>0</v>
      </c>
      <c r="AJ134" s="23" t="s">
        <v>98</v>
      </c>
      <c r="AK134" s="23" t="s">
        <v>84</v>
      </c>
      <c r="AL134" s="30">
        <v>2</v>
      </c>
      <c r="AM134" s="23"/>
      <c r="AN134" s="31" t="s">
        <v>220</v>
      </c>
      <c r="AO134" s="23" t="s">
        <v>66</v>
      </c>
      <c r="AP134" s="23" t="s">
        <v>71</v>
      </c>
      <c r="AQ134" s="34">
        <v>6500</v>
      </c>
      <c r="AR134" s="23" t="s">
        <v>78</v>
      </c>
      <c r="AS134" s="23">
        <v>65</v>
      </c>
      <c r="AT134" s="23">
        <v>0</v>
      </c>
      <c r="AU134" s="23">
        <v>0</v>
      </c>
    </row>
    <row r="135" spans="1:47">
      <c r="A135" s="26" t="s">
        <v>73</v>
      </c>
      <c r="B135" s="23" t="s">
        <v>55</v>
      </c>
      <c r="C135" s="23">
        <v>3</v>
      </c>
      <c r="D135" s="23"/>
      <c r="E135" s="23" t="s">
        <v>60</v>
      </c>
      <c r="F135" s="23" t="s">
        <v>6</v>
      </c>
      <c r="G135" s="27">
        <v>2007</v>
      </c>
      <c r="H135" s="27">
        <v>20</v>
      </c>
      <c r="I135" s="27">
        <v>25</v>
      </c>
      <c r="J135" s="27">
        <v>20</v>
      </c>
      <c r="K135" s="27">
        <v>14</v>
      </c>
      <c r="L135" s="27">
        <v>14</v>
      </c>
      <c r="M135" s="27">
        <v>14</v>
      </c>
      <c r="N135" s="27"/>
      <c r="O135" s="27"/>
      <c r="P135" s="28">
        <v>42</v>
      </c>
      <c r="Q135" s="28">
        <v>22.78</v>
      </c>
      <c r="R135" s="28">
        <v>33.333333333333336</v>
      </c>
      <c r="S135" s="27">
        <v>75</v>
      </c>
      <c r="T135" s="29">
        <v>285.60000000000002</v>
      </c>
      <c r="U135" s="27">
        <v>210</v>
      </c>
      <c r="V135" s="27">
        <v>11</v>
      </c>
      <c r="W135" s="27">
        <v>101</v>
      </c>
      <c r="X135" s="29">
        <v>200</v>
      </c>
      <c r="Y135" s="27" t="s">
        <v>102</v>
      </c>
      <c r="Z135" s="27" t="s">
        <v>102</v>
      </c>
      <c r="AA135" s="29">
        <v>5</v>
      </c>
      <c r="AB135" s="29">
        <v>8</v>
      </c>
      <c r="AC135" s="29" t="s">
        <v>386</v>
      </c>
      <c r="AD135" s="29" t="s">
        <v>386</v>
      </c>
      <c r="AE135" s="29" t="s">
        <v>386</v>
      </c>
      <c r="AF135" s="29" t="s">
        <v>386</v>
      </c>
      <c r="AG135" s="27">
        <v>13</v>
      </c>
      <c r="AH135" s="27">
        <v>0</v>
      </c>
      <c r="AI135" s="27">
        <v>0</v>
      </c>
      <c r="AJ135" s="23" t="s">
        <v>98</v>
      </c>
      <c r="AK135" s="23" t="s">
        <v>84</v>
      </c>
      <c r="AL135" s="30">
        <v>2</v>
      </c>
      <c r="AM135" s="23"/>
      <c r="AN135" s="31" t="s">
        <v>220</v>
      </c>
      <c r="AO135" s="23" t="s">
        <v>66</v>
      </c>
      <c r="AP135" s="23" t="s">
        <v>71</v>
      </c>
      <c r="AQ135" s="34">
        <v>6500.01</v>
      </c>
      <c r="AR135" s="23" t="s">
        <v>78</v>
      </c>
      <c r="AS135" s="23">
        <v>65</v>
      </c>
      <c r="AT135" s="23">
        <v>0</v>
      </c>
      <c r="AU135" s="23">
        <v>1</v>
      </c>
    </row>
    <row r="136" spans="1:47">
      <c r="A136" s="26" t="s">
        <v>73</v>
      </c>
      <c r="B136" s="23" t="s">
        <v>77</v>
      </c>
      <c r="C136" s="23">
        <v>4</v>
      </c>
      <c r="D136" s="23"/>
      <c r="E136" s="23" t="s">
        <v>60</v>
      </c>
      <c r="F136" s="23" t="s">
        <v>7</v>
      </c>
      <c r="G136" s="27">
        <v>2007</v>
      </c>
      <c r="H136" s="27">
        <v>20</v>
      </c>
      <c r="I136" s="27">
        <v>25</v>
      </c>
      <c r="J136" s="27">
        <v>20</v>
      </c>
      <c r="K136" s="27">
        <v>14</v>
      </c>
      <c r="L136" s="27">
        <v>14</v>
      </c>
      <c r="M136" s="27">
        <v>14</v>
      </c>
      <c r="N136" s="27">
        <v>14</v>
      </c>
      <c r="O136" s="27"/>
      <c r="P136" s="28">
        <v>56</v>
      </c>
      <c r="Q136" s="28">
        <v>26.78</v>
      </c>
      <c r="R136" s="28">
        <v>35.260000000000005</v>
      </c>
      <c r="S136" s="27">
        <v>75</v>
      </c>
      <c r="T136" s="29">
        <v>285.60000000000002</v>
      </c>
      <c r="U136" s="27">
        <v>210</v>
      </c>
      <c r="V136" s="27">
        <v>17</v>
      </c>
      <c r="W136" s="27">
        <v>150</v>
      </c>
      <c r="X136" s="29">
        <v>200</v>
      </c>
      <c r="Y136" s="27" t="s">
        <v>69</v>
      </c>
      <c r="Z136" s="27" t="s">
        <v>69</v>
      </c>
      <c r="AA136" s="29">
        <v>3</v>
      </c>
      <c r="AB136" s="29">
        <v>8</v>
      </c>
      <c r="AC136" s="29">
        <v>8</v>
      </c>
      <c r="AD136" s="29" t="s">
        <v>386</v>
      </c>
      <c r="AE136" s="29" t="s">
        <v>386</v>
      </c>
      <c r="AF136" s="29" t="s">
        <v>386</v>
      </c>
      <c r="AG136" s="27">
        <v>11</v>
      </c>
      <c r="AH136" s="27">
        <v>8</v>
      </c>
      <c r="AI136" s="27">
        <v>0</v>
      </c>
      <c r="AJ136" s="23" t="s">
        <v>98</v>
      </c>
      <c r="AK136" s="23" t="s">
        <v>84</v>
      </c>
      <c r="AL136" s="30">
        <v>2</v>
      </c>
      <c r="AM136" s="23" t="s">
        <v>77</v>
      </c>
      <c r="AN136" s="31" t="s">
        <v>221</v>
      </c>
      <c r="AO136" s="23" t="s">
        <v>85</v>
      </c>
      <c r="AP136" s="23" t="s">
        <v>71</v>
      </c>
      <c r="AQ136" s="34">
        <v>6502</v>
      </c>
      <c r="AR136" s="23" t="s">
        <v>78</v>
      </c>
      <c r="AS136" s="23">
        <v>65</v>
      </c>
      <c r="AT136" s="23">
        <v>2</v>
      </c>
      <c r="AU136" s="23">
        <v>0</v>
      </c>
    </row>
    <row r="137" spans="1:47">
      <c r="A137" s="26" t="s">
        <v>73</v>
      </c>
      <c r="B137" s="23" t="s">
        <v>77</v>
      </c>
      <c r="C137" s="23">
        <v>4</v>
      </c>
      <c r="D137" s="23"/>
      <c r="E137" s="23" t="s">
        <v>60</v>
      </c>
      <c r="F137" s="23" t="s">
        <v>7</v>
      </c>
      <c r="G137" s="27">
        <v>2007</v>
      </c>
      <c r="H137" s="27">
        <v>20</v>
      </c>
      <c r="I137" s="27">
        <v>25</v>
      </c>
      <c r="J137" s="27">
        <v>20</v>
      </c>
      <c r="K137" s="27">
        <v>14</v>
      </c>
      <c r="L137" s="27">
        <v>14</v>
      </c>
      <c r="M137" s="27">
        <v>14</v>
      </c>
      <c r="N137" s="27">
        <v>14</v>
      </c>
      <c r="O137" s="27"/>
      <c r="P137" s="28">
        <v>56</v>
      </c>
      <c r="Q137" s="28">
        <v>26.78</v>
      </c>
      <c r="R137" s="28">
        <v>35.260000000000005</v>
      </c>
      <c r="S137" s="27">
        <v>75</v>
      </c>
      <c r="T137" s="29">
        <v>285.60000000000002</v>
      </c>
      <c r="U137" s="27">
        <v>210</v>
      </c>
      <c r="V137" s="27">
        <v>17</v>
      </c>
      <c r="W137" s="27">
        <v>150</v>
      </c>
      <c r="X137" s="29">
        <v>200</v>
      </c>
      <c r="Y137" s="27" t="s">
        <v>102</v>
      </c>
      <c r="Z137" s="27" t="s">
        <v>102</v>
      </c>
      <c r="AA137" s="29">
        <v>3</v>
      </c>
      <c r="AB137" s="29">
        <v>8</v>
      </c>
      <c r="AC137" s="29">
        <v>8</v>
      </c>
      <c r="AD137" s="29" t="s">
        <v>386</v>
      </c>
      <c r="AE137" s="29" t="s">
        <v>386</v>
      </c>
      <c r="AF137" s="29" t="s">
        <v>386</v>
      </c>
      <c r="AG137" s="27">
        <v>11</v>
      </c>
      <c r="AH137" s="27">
        <v>8</v>
      </c>
      <c r="AI137" s="27">
        <v>0</v>
      </c>
      <c r="AJ137" s="23" t="s">
        <v>98</v>
      </c>
      <c r="AK137" s="23" t="s">
        <v>84</v>
      </c>
      <c r="AL137" s="30">
        <v>2</v>
      </c>
      <c r="AM137" s="23" t="s">
        <v>77</v>
      </c>
      <c r="AN137" s="31" t="s">
        <v>221</v>
      </c>
      <c r="AO137" s="23" t="s">
        <v>85</v>
      </c>
      <c r="AP137" s="23" t="s">
        <v>71</v>
      </c>
      <c r="AQ137" s="34">
        <v>6502.01</v>
      </c>
      <c r="AR137" s="23" t="s">
        <v>78</v>
      </c>
      <c r="AS137" s="23">
        <v>65</v>
      </c>
      <c r="AT137" s="23">
        <v>2</v>
      </c>
      <c r="AU137" s="23">
        <v>1</v>
      </c>
    </row>
    <row r="138" spans="1:47">
      <c r="A138" s="26" t="s">
        <v>62</v>
      </c>
      <c r="B138" s="23" t="s">
        <v>54</v>
      </c>
      <c r="C138" s="23">
        <v>3</v>
      </c>
      <c r="D138" s="23"/>
      <c r="E138" s="23" t="s">
        <v>60</v>
      </c>
      <c r="F138" s="23" t="s">
        <v>2</v>
      </c>
      <c r="G138" s="27">
        <v>2012</v>
      </c>
      <c r="H138" s="27">
        <v>20</v>
      </c>
      <c r="I138" s="27">
        <v>25</v>
      </c>
      <c r="J138" s="27">
        <v>20</v>
      </c>
      <c r="K138" s="27">
        <v>14</v>
      </c>
      <c r="L138" s="27">
        <v>14</v>
      </c>
      <c r="M138" s="27">
        <v>14</v>
      </c>
      <c r="N138" s="27"/>
      <c r="O138" s="27"/>
      <c r="P138" s="28">
        <v>42</v>
      </c>
      <c r="Q138" s="28">
        <v>26.18</v>
      </c>
      <c r="R138" s="28">
        <v>40.033333333333339</v>
      </c>
      <c r="S138" s="27">
        <v>80</v>
      </c>
      <c r="T138" s="29">
        <v>353.6</v>
      </c>
      <c r="U138" s="27">
        <v>260</v>
      </c>
      <c r="V138" s="27">
        <v>11</v>
      </c>
      <c r="W138" s="27">
        <v>86</v>
      </c>
      <c r="X138" s="29">
        <v>200</v>
      </c>
      <c r="Y138" s="27" t="s">
        <v>69</v>
      </c>
      <c r="Z138" s="27" t="s">
        <v>69</v>
      </c>
      <c r="AA138" s="29">
        <v>3</v>
      </c>
      <c r="AB138" s="29">
        <v>8</v>
      </c>
      <c r="AC138" s="29" t="s">
        <v>386</v>
      </c>
      <c r="AD138" s="29" t="s">
        <v>386</v>
      </c>
      <c r="AE138" s="29" t="s">
        <v>386</v>
      </c>
      <c r="AF138" s="29" t="s">
        <v>386</v>
      </c>
      <c r="AG138" s="27">
        <v>11</v>
      </c>
      <c r="AH138" s="27">
        <v>0</v>
      </c>
      <c r="AI138" s="27">
        <v>0</v>
      </c>
      <c r="AJ138" s="23" t="s">
        <v>59</v>
      </c>
      <c r="AK138" s="23" t="s">
        <v>63</v>
      </c>
      <c r="AL138" s="30" t="s">
        <v>64</v>
      </c>
      <c r="AM138" s="23" t="s">
        <v>65</v>
      </c>
      <c r="AN138" s="31" t="s">
        <v>220</v>
      </c>
      <c r="AO138" s="23" t="s">
        <v>67</v>
      </c>
      <c r="AP138" s="23" t="s">
        <v>71</v>
      </c>
      <c r="AQ138" s="34">
        <v>6504</v>
      </c>
      <c r="AR138" s="23" t="s">
        <v>78</v>
      </c>
      <c r="AS138" s="23">
        <v>65</v>
      </c>
      <c r="AT138" s="23">
        <v>4</v>
      </c>
      <c r="AU138" s="23">
        <v>0</v>
      </c>
    </row>
    <row r="139" spans="1:47">
      <c r="A139" s="26" t="s">
        <v>62</v>
      </c>
      <c r="B139" s="23" t="s">
        <v>54</v>
      </c>
      <c r="C139" s="23">
        <v>3</v>
      </c>
      <c r="D139" s="23"/>
      <c r="E139" s="23" t="s">
        <v>60</v>
      </c>
      <c r="F139" s="23" t="s">
        <v>2</v>
      </c>
      <c r="G139" s="27">
        <v>2012</v>
      </c>
      <c r="H139" s="27">
        <v>20</v>
      </c>
      <c r="I139" s="27">
        <v>25</v>
      </c>
      <c r="J139" s="27">
        <v>20</v>
      </c>
      <c r="K139" s="27">
        <v>14</v>
      </c>
      <c r="L139" s="27">
        <v>14</v>
      </c>
      <c r="M139" s="27">
        <v>14</v>
      </c>
      <c r="N139" s="27"/>
      <c r="O139" s="27"/>
      <c r="P139" s="28">
        <v>42</v>
      </c>
      <c r="Q139" s="28">
        <v>26.18</v>
      </c>
      <c r="R139" s="28">
        <v>40.033333333333339</v>
      </c>
      <c r="S139" s="27">
        <v>80</v>
      </c>
      <c r="T139" s="29">
        <v>353.6</v>
      </c>
      <c r="U139" s="27">
        <v>260</v>
      </c>
      <c r="V139" s="27">
        <v>11</v>
      </c>
      <c r="W139" s="27">
        <v>86</v>
      </c>
      <c r="X139" s="29">
        <v>200</v>
      </c>
      <c r="Y139" s="27" t="s">
        <v>102</v>
      </c>
      <c r="Z139" s="27" t="s">
        <v>102</v>
      </c>
      <c r="AA139" s="29">
        <v>3</v>
      </c>
      <c r="AB139" s="29">
        <v>8</v>
      </c>
      <c r="AC139" s="29" t="s">
        <v>386</v>
      </c>
      <c r="AD139" s="29" t="s">
        <v>386</v>
      </c>
      <c r="AE139" s="29" t="s">
        <v>386</v>
      </c>
      <c r="AF139" s="29" t="s">
        <v>386</v>
      </c>
      <c r="AG139" s="27">
        <v>11</v>
      </c>
      <c r="AH139" s="27">
        <v>0</v>
      </c>
      <c r="AI139" s="27">
        <v>0</v>
      </c>
      <c r="AJ139" s="23" t="s">
        <v>59</v>
      </c>
      <c r="AK139" s="23" t="s">
        <v>63</v>
      </c>
      <c r="AL139" s="30" t="s">
        <v>64</v>
      </c>
      <c r="AM139" s="23" t="s">
        <v>65</v>
      </c>
      <c r="AN139" s="31" t="s">
        <v>220</v>
      </c>
      <c r="AO139" s="23" t="s">
        <v>67</v>
      </c>
      <c r="AP139" s="23" t="s">
        <v>71</v>
      </c>
      <c r="AQ139" s="34">
        <v>6504.01</v>
      </c>
      <c r="AR139" s="23" t="s">
        <v>78</v>
      </c>
      <c r="AS139" s="23">
        <v>65</v>
      </c>
      <c r="AT139" s="23">
        <v>4</v>
      </c>
      <c r="AU139" s="23">
        <v>1</v>
      </c>
    </row>
    <row r="140" spans="1:47">
      <c r="A140" s="26" t="s">
        <v>62</v>
      </c>
      <c r="B140" s="23" t="s">
        <v>54</v>
      </c>
      <c r="C140" s="23">
        <v>3</v>
      </c>
      <c r="D140" s="23"/>
      <c r="E140" s="23" t="s">
        <v>60</v>
      </c>
      <c r="F140" s="23" t="s">
        <v>2</v>
      </c>
      <c r="G140" s="27">
        <v>2012</v>
      </c>
      <c r="H140" s="27">
        <v>20</v>
      </c>
      <c r="I140" s="27">
        <v>25</v>
      </c>
      <c r="J140" s="27">
        <v>20</v>
      </c>
      <c r="K140" s="27">
        <v>14</v>
      </c>
      <c r="L140" s="27">
        <v>14</v>
      </c>
      <c r="M140" s="27">
        <v>14</v>
      </c>
      <c r="N140" s="27"/>
      <c r="O140" s="27"/>
      <c r="P140" s="28">
        <v>42</v>
      </c>
      <c r="Q140" s="28">
        <v>26.18</v>
      </c>
      <c r="R140" s="28">
        <v>40.033333333333339</v>
      </c>
      <c r="S140" s="27">
        <v>80</v>
      </c>
      <c r="T140" s="29">
        <v>353.6</v>
      </c>
      <c r="U140" s="27">
        <v>260</v>
      </c>
      <c r="V140" s="27">
        <v>11</v>
      </c>
      <c r="W140" s="27">
        <v>86</v>
      </c>
      <c r="X140" s="29">
        <v>200</v>
      </c>
      <c r="Y140" s="27" t="s">
        <v>106</v>
      </c>
      <c r="Z140" s="27" t="s">
        <v>106</v>
      </c>
      <c r="AA140" s="29">
        <v>3</v>
      </c>
      <c r="AB140" s="29">
        <v>8</v>
      </c>
      <c r="AC140" s="29" t="s">
        <v>386</v>
      </c>
      <c r="AD140" s="29" t="s">
        <v>386</v>
      </c>
      <c r="AE140" s="29" t="s">
        <v>386</v>
      </c>
      <c r="AF140" s="29" t="s">
        <v>386</v>
      </c>
      <c r="AG140" s="27">
        <v>11</v>
      </c>
      <c r="AH140" s="27">
        <v>0</v>
      </c>
      <c r="AI140" s="27">
        <v>0</v>
      </c>
      <c r="AJ140" s="23" t="s">
        <v>59</v>
      </c>
      <c r="AK140" s="23" t="s">
        <v>63</v>
      </c>
      <c r="AL140" s="30" t="s">
        <v>64</v>
      </c>
      <c r="AM140" s="23" t="s">
        <v>65</v>
      </c>
      <c r="AN140" s="31" t="s">
        <v>220</v>
      </c>
      <c r="AO140" s="23" t="s">
        <v>67</v>
      </c>
      <c r="AP140" s="23" t="s">
        <v>71</v>
      </c>
      <c r="AQ140" s="34">
        <v>6504.02</v>
      </c>
      <c r="AR140" s="23" t="s">
        <v>188</v>
      </c>
      <c r="AS140" s="23">
        <v>65</v>
      </c>
      <c r="AT140" s="23">
        <v>4</v>
      </c>
      <c r="AU140" s="23">
        <v>2</v>
      </c>
    </row>
    <row r="141" spans="1:47">
      <c r="A141" s="26" t="s">
        <v>75</v>
      </c>
      <c r="B141" s="23" t="s">
        <v>54</v>
      </c>
      <c r="C141" s="23">
        <v>3</v>
      </c>
      <c r="D141" s="23"/>
      <c r="E141" s="23" t="s">
        <v>76</v>
      </c>
      <c r="F141" s="23" t="s">
        <v>21</v>
      </c>
      <c r="G141" s="27">
        <v>2024</v>
      </c>
      <c r="H141" s="27">
        <v>20</v>
      </c>
      <c r="I141" s="27">
        <v>25</v>
      </c>
      <c r="J141" s="27">
        <v>20</v>
      </c>
      <c r="K141" s="27">
        <v>14</v>
      </c>
      <c r="L141" s="27">
        <v>14</v>
      </c>
      <c r="M141" s="27">
        <v>14</v>
      </c>
      <c r="N141" s="27"/>
      <c r="O141" s="27"/>
      <c r="P141" s="28">
        <v>42</v>
      </c>
      <c r="Q141" s="28">
        <v>37.5</v>
      </c>
      <c r="R141" s="28">
        <v>20.880000000000003</v>
      </c>
      <c r="S141" s="27">
        <v>80</v>
      </c>
      <c r="T141" s="29">
        <v>340</v>
      </c>
      <c r="U141" s="27">
        <v>250</v>
      </c>
      <c r="V141" s="27">
        <v>12</v>
      </c>
      <c r="W141" s="27">
        <v>84</v>
      </c>
      <c r="X141" s="29">
        <v>200</v>
      </c>
      <c r="Y141" s="27" t="s">
        <v>69</v>
      </c>
      <c r="Z141" s="27" t="s">
        <v>69</v>
      </c>
      <c r="AA141" s="29">
        <v>3</v>
      </c>
      <c r="AB141" s="29">
        <v>8</v>
      </c>
      <c r="AC141" s="29" t="s">
        <v>386</v>
      </c>
      <c r="AD141" s="29" t="s">
        <v>386</v>
      </c>
      <c r="AE141" s="29" t="s">
        <v>386</v>
      </c>
      <c r="AF141" s="29" t="s">
        <v>386</v>
      </c>
      <c r="AG141" s="27">
        <v>11</v>
      </c>
      <c r="AH141" s="27">
        <v>0</v>
      </c>
      <c r="AI141" s="27">
        <v>0</v>
      </c>
      <c r="AJ141" s="23" t="s">
        <v>59</v>
      </c>
      <c r="AK141" s="23" t="s">
        <v>63</v>
      </c>
      <c r="AL141" s="30" t="s">
        <v>64</v>
      </c>
      <c r="AM141" s="23" t="s">
        <v>65</v>
      </c>
      <c r="AN141" s="31" t="s">
        <v>220</v>
      </c>
      <c r="AO141" s="23" t="s">
        <v>67</v>
      </c>
      <c r="AP141" s="23" t="s">
        <v>71</v>
      </c>
      <c r="AQ141" s="34">
        <v>6505</v>
      </c>
      <c r="AR141" s="23" t="s">
        <v>78</v>
      </c>
      <c r="AS141" s="23">
        <v>65</v>
      </c>
      <c r="AT141" s="23">
        <v>5</v>
      </c>
      <c r="AU141" s="23">
        <v>0</v>
      </c>
    </row>
    <row r="142" spans="1:47">
      <c r="A142" s="26" t="s">
        <v>75</v>
      </c>
      <c r="B142" s="23" t="s">
        <v>54</v>
      </c>
      <c r="C142" s="23">
        <v>3</v>
      </c>
      <c r="D142" s="23"/>
      <c r="E142" s="23" t="s">
        <v>76</v>
      </c>
      <c r="F142" s="23" t="s">
        <v>21</v>
      </c>
      <c r="G142" s="27">
        <v>2024</v>
      </c>
      <c r="H142" s="27">
        <v>20</v>
      </c>
      <c r="I142" s="27">
        <v>25</v>
      </c>
      <c r="J142" s="27">
        <v>20</v>
      </c>
      <c r="K142" s="27">
        <v>14</v>
      </c>
      <c r="L142" s="27">
        <v>14</v>
      </c>
      <c r="M142" s="27">
        <v>14</v>
      </c>
      <c r="N142" s="27"/>
      <c r="O142" s="27"/>
      <c r="P142" s="28">
        <v>42</v>
      </c>
      <c r="Q142" s="28">
        <v>37.5</v>
      </c>
      <c r="R142" s="28">
        <v>20.880000000000003</v>
      </c>
      <c r="S142" s="27">
        <v>80</v>
      </c>
      <c r="T142" s="29">
        <v>340</v>
      </c>
      <c r="U142" s="27">
        <v>250</v>
      </c>
      <c r="V142" s="27">
        <v>12</v>
      </c>
      <c r="W142" s="27">
        <v>84</v>
      </c>
      <c r="X142" s="29">
        <v>200</v>
      </c>
      <c r="Y142" s="27" t="s">
        <v>102</v>
      </c>
      <c r="Z142" s="27" t="s">
        <v>102</v>
      </c>
      <c r="AA142" s="29">
        <v>3</v>
      </c>
      <c r="AB142" s="29">
        <v>8</v>
      </c>
      <c r="AC142" s="29" t="s">
        <v>386</v>
      </c>
      <c r="AD142" s="29" t="s">
        <v>386</v>
      </c>
      <c r="AE142" s="29" t="s">
        <v>386</v>
      </c>
      <c r="AF142" s="29" t="s">
        <v>386</v>
      </c>
      <c r="AG142" s="27">
        <v>11</v>
      </c>
      <c r="AH142" s="27">
        <v>0</v>
      </c>
      <c r="AI142" s="27">
        <v>0</v>
      </c>
      <c r="AJ142" s="23" t="s">
        <v>59</v>
      </c>
      <c r="AK142" s="23" t="s">
        <v>63</v>
      </c>
      <c r="AL142" s="30" t="s">
        <v>64</v>
      </c>
      <c r="AM142" s="23" t="s">
        <v>65</v>
      </c>
      <c r="AN142" s="31" t="s">
        <v>220</v>
      </c>
      <c r="AO142" s="23" t="s">
        <v>67</v>
      </c>
      <c r="AP142" s="23" t="s">
        <v>71</v>
      </c>
      <c r="AQ142" s="34">
        <v>6505.01</v>
      </c>
      <c r="AR142" s="23" t="s">
        <v>78</v>
      </c>
      <c r="AS142" s="23">
        <v>65</v>
      </c>
      <c r="AT142" s="23">
        <v>5</v>
      </c>
      <c r="AU142" s="23">
        <v>1</v>
      </c>
    </row>
    <row r="143" spans="1:47">
      <c r="A143" s="26" t="s">
        <v>62</v>
      </c>
      <c r="B143" s="23" t="s">
        <v>54</v>
      </c>
      <c r="C143" s="23">
        <v>2</v>
      </c>
      <c r="D143" s="23"/>
      <c r="E143" s="23" t="s">
        <v>60</v>
      </c>
      <c r="F143" s="23" t="s">
        <v>3</v>
      </c>
      <c r="G143" s="27">
        <v>2012</v>
      </c>
      <c r="H143" s="27">
        <v>20</v>
      </c>
      <c r="I143" s="27">
        <v>25</v>
      </c>
      <c r="J143" s="27">
        <v>20</v>
      </c>
      <c r="K143" s="27">
        <v>14</v>
      </c>
      <c r="L143" s="27">
        <v>14</v>
      </c>
      <c r="M143" s="27"/>
      <c r="N143" s="27"/>
      <c r="O143" s="27"/>
      <c r="P143" s="28">
        <v>28</v>
      </c>
      <c r="Q143" s="28">
        <v>25.18</v>
      </c>
      <c r="R143" s="28">
        <v>39.033333333333339</v>
      </c>
      <c r="S143" s="27">
        <v>80</v>
      </c>
      <c r="T143" s="29">
        <v>353.6</v>
      </c>
      <c r="U143" s="27">
        <v>260</v>
      </c>
      <c r="V143" s="27">
        <v>11</v>
      </c>
      <c r="W143" s="27">
        <v>86</v>
      </c>
      <c r="X143" s="29">
        <v>200</v>
      </c>
      <c r="Y143" s="27" t="s">
        <v>69</v>
      </c>
      <c r="Z143" s="27" t="s">
        <v>69</v>
      </c>
      <c r="AA143" s="29">
        <v>3</v>
      </c>
      <c r="AB143" s="29">
        <v>8</v>
      </c>
      <c r="AC143" s="29" t="s">
        <v>386</v>
      </c>
      <c r="AD143" s="29" t="s">
        <v>386</v>
      </c>
      <c r="AE143" s="29" t="s">
        <v>386</v>
      </c>
      <c r="AF143" s="29" t="s">
        <v>386</v>
      </c>
      <c r="AG143" s="27">
        <v>11</v>
      </c>
      <c r="AH143" s="27">
        <v>0</v>
      </c>
      <c r="AI143" s="27">
        <v>0</v>
      </c>
      <c r="AJ143" s="23" t="s">
        <v>59</v>
      </c>
      <c r="AK143" s="23" t="s">
        <v>63</v>
      </c>
      <c r="AL143" s="30" t="s">
        <v>64</v>
      </c>
      <c r="AM143" s="23" t="s">
        <v>65</v>
      </c>
      <c r="AN143" s="31" t="s">
        <v>219</v>
      </c>
      <c r="AO143" s="23" t="s">
        <v>67</v>
      </c>
      <c r="AP143" s="23" t="s">
        <v>71</v>
      </c>
      <c r="AQ143" s="34">
        <v>6506</v>
      </c>
      <c r="AR143" s="23" t="s">
        <v>78</v>
      </c>
      <c r="AS143" s="23">
        <v>65</v>
      </c>
      <c r="AT143" s="23">
        <v>6</v>
      </c>
      <c r="AU143" s="23">
        <v>0</v>
      </c>
    </row>
    <row r="144" spans="1:47">
      <c r="A144" s="26" t="s">
        <v>62</v>
      </c>
      <c r="B144" s="23" t="s">
        <v>54</v>
      </c>
      <c r="C144" s="23">
        <v>2</v>
      </c>
      <c r="D144" s="23"/>
      <c r="E144" s="23" t="s">
        <v>60</v>
      </c>
      <c r="F144" s="23" t="s">
        <v>3</v>
      </c>
      <c r="G144" s="27">
        <v>2012</v>
      </c>
      <c r="H144" s="27">
        <v>20</v>
      </c>
      <c r="I144" s="27">
        <v>25</v>
      </c>
      <c r="J144" s="27">
        <v>20</v>
      </c>
      <c r="K144" s="27">
        <v>14</v>
      </c>
      <c r="L144" s="27">
        <v>14</v>
      </c>
      <c r="M144" s="27"/>
      <c r="N144" s="27"/>
      <c r="O144" s="27"/>
      <c r="P144" s="28">
        <v>28</v>
      </c>
      <c r="Q144" s="28">
        <v>25.18</v>
      </c>
      <c r="R144" s="28">
        <v>39.033333333333339</v>
      </c>
      <c r="S144" s="27">
        <v>80</v>
      </c>
      <c r="T144" s="29">
        <v>353.6</v>
      </c>
      <c r="U144" s="27">
        <v>260</v>
      </c>
      <c r="V144" s="27">
        <v>11</v>
      </c>
      <c r="W144" s="27">
        <v>86</v>
      </c>
      <c r="X144" s="29">
        <v>200</v>
      </c>
      <c r="Y144" s="27" t="s">
        <v>102</v>
      </c>
      <c r="Z144" s="27" t="s">
        <v>102</v>
      </c>
      <c r="AA144" s="29">
        <v>3</v>
      </c>
      <c r="AB144" s="29">
        <v>8</v>
      </c>
      <c r="AC144" s="29" t="s">
        <v>386</v>
      </c>
      <c r="AD144" s="29" t="s">
        <v>386</v>
      </c>
      <c r="AE144" s="29" t="s">
        <v>386</v>
      </c>
      <c r="AF144" s="29" t="s">
        <v>386</v>
      </c>
      <c r="AG144" s="27">
        <v>11</v>
      </c>
      <c r="AH144" s="27">
        <v>0</v>
      </c>
      <c r="AI144" s="27">
        <v>0</v>
      </c>
      <c r="AJ144" s="23" t="s">
        <v>59</v>
      </c>
      <c r="AK144" s="23" t="s">
        <v>63</v>
      </c>
      <c r="AL144" s="30" t="s">
        <v>64</v>
      </c>
      <c r="AM144" s="23" t="s">
        <v>65</v>
      </c>
      <c r="AN144" s="31" t="s">
        <v>219</v>
      </c>
      <c r="AO144" s="23" t="s">
        <v>67</v>
      </c>
      <c r="AP144" s="23" t="s">
        <v>71</v>
      </c>
      <c r="AQ144" s="34">
        <v>6506.01</v>
      </c>
      <c r="AR144" s="23" t="s">
        <v>78</v>
      </c>
      <c r="AS144" s="23">
        <v>65</v>
      </c>
      <c r="AT144" s="23">
        <v>6</v>
      </c>
      <c r="AU144" s="23">
        <v>1</v>
      </c>
    </row>
    <row r="145" spans="1:47">
      <c r="A145" s="26" t="s">
        <v>75</v>
      </c>
      <c r="B145" s="23" t="s">
        <v>54</v>
      </c>
      <c r="C145" s="23">
        <v>2</v>
      </c>
      <c r="D145" s="23"/>
      <c r="E145" s="23" t="s">
        <v>76</v>
      </c>
      <c r="F145" s="23" t="s">
        <v>22</v>
      </c>
      <c r="G145" s="27">
        <v>2024</v>
      </c>
      <c r="H145" s="27">
        <v>20</v>
      </c>
      <c r="I145" s="27">
        <v>25</v>
      </c>
      <c r="J145" s="27">
        <v>20</v>
      </c>
      <c r="K145" s="27">
        <v>14</v>
      </c>
      <c r="L145" s="27">
        <v>14</v>
      </c>
      <c r="M145" s="27"/>
      <c r="N145" s="27"/>
      <c r="O145" s="27"/>
      <c r="P145" s="28">
        <v>28</v>
      </c>
      <c r="Q145" s="28">
        <v>36.5</v>
      </c>
      <c r="R145" s="28">
        <v>19.880000000000003</v>
      </c>
      <c r="S145" s="27">
        <v>80</v>
      </c>
      <c r="T145" s="29">
        <v>340</v>
      </c>
      <c r="U145" s="27">
        <v>250</v>
      </c>
      <c r="V145" s="27">
        <v>12</v>
      </c>
      <c r="W145" s="27">
        <v>84</v>
      </c>
      <c r="X145" s="29">
        <v>200</v>
      </c>
      <c r="Y145" s="27" t="s">
        <v>69</v>
      </c>
      <c r="Z145" s="27" t="s">
        <v>69</v>
      </c>
      <c r="AA145" s="29">
        <v>3</v>
      </c>
      <c r="AB145" s="29">
        <v>8</v>
      </c>
      <c r="AC145" s="29" t="s">
        <v>386</v>
      </c>
      <c r="AD145" s="29" t="s">
        <v>386</v>
      </c>
      <c r="AE145" s="29" t="s">
        <v>386</v>
      </c>
      <c r="AF145" s="29" t="s">
        <v>386</v>
      </c>
      <c r="AG145" s="27">
        <v>11</v>
      </c>
      <c r="AH145" s="27">
        <v>0</v>
      </c>
      <c r="AI145" s="27">
        <v>0</v>
      </c>
      <c r="AJ145" s="23" t="s">
        <v>59</v>
      </c>
      <c r="AK145" s="23" t="s">
        <v>63</v>
      </c>
      <c r="AL145" s="30" t="s">
        <v>64</v>
      </c>
      <c r="AM145" s="23" t="s">
        <v>65</v>
      </c>
      <c r="AN145" s="31" t="s">
        <v>219</v>
      </c>
      <c r="AO145" s="23" t="s">
        <v>67</v>
      </c>
      <c r="AP145" s="23" t="s">
        <v>71</v>
      </c>
      <c r="AQ145" s="34">
        <v>6507</v>
      </c>
      <c r="AR145" s="23" t="s">
        <v>78</v>
      </c>
      <c r="AS145" s="23">
        <v>65</v>
      </c>
      <c r="AT145" s="23">
        <v>7</v>
      </c>
      <c r="AU145" s="23">
        <v>0</v>
      </c>
    </row>
    <row r="146" spans="1:47">
      <c r="A146" s="26" t="s">
        <v>75</v>
      </c>
      <c r="B146" s="23" t="s">
        <v>54</v>
      </c>
      <c r="C146" s="23">
        <v>2</v>
      </c>
      <c r="D146" s="23"/>
      <c r="E146" s="23" t="s">
        <v>76</v>
      </c>
      <c r="F146" s="23" t="s">
        <v>22</v>
      </c>
      <c r="G146" s="27">
        <v>2024</v>
      </c>
      <c r="H146" s="27">
        <v>20</v>
      </c>
      <c r="I146" s="27">
        <v>25</v>
      </c>
      <c r="J146" s="27">
        <v>20</v>
      </c>
      <c r="K146" s="27">
        <v>14</v>
      </c>
      <c r="L146" s="27">
        <v>14</v>
      </c>
      <c r="M146" s="27"/>
      <c r="N146" s="27"/>
      <c r="O146" s="27"/>
      <c r="P146" s="28">
        <v>28</v>
      </c>
      <c r="Q146" s="28">
        <v>36.5</v>
      </c>
      <c r="R146" s="28">
        <v>19.880000000000003</v>
      </c>
      <c r="S146" s="27">
        <v>80</v>
      </c>
      <c r="T146" s="29">
        <v>340</v>
      </c>
      <c r="U146" s="27">
        <v>250</v>
      </c>
      <c r="V146" s="27">
        <v>12</v>
      </c>
      <c r="W146" s="27">
        <v>84</v>
      </c>
      <c r="X146" s="29">
        <v>200</v>
      </c>
      <c r="Y146" s="27" t="s">
        <v>102</v>
      </c>
      <c r="Z146" s="27" t="s">
        <v>102</v>
      </c>
      <c r="AA146" s="29">
        <v>3</v>
      </c>
      <c r="AB146" s="29">
        <v>8</v>
      </c>
      <c r="AC146" s="29" t="s">
        <v>386</v>
      </c>
      <c r="AD146" s="29" t="s">
        <v>386</v>
      </c>
      <c r="AE146" s="29" t="s">
        <v>386</v>
      </c>
      <c r="AF146" s="29" t="s">
        <v>386</v>
      </c>
      <c r="AG146" s="27">
        <v>11</v>
      </c>
      <c r="AH146" s="27">
        <v>0</v>
      </c>
      <c r="AI146" s="27">
        <v>0</v>
      </c>
      <c r="AJ146" s="23" t="s">
        <v>59</v>
      </c>
      <c r="AK146" s="23" t="s">
        <v>63</v>
      </c>
      <c r="AL146" s="30" t="s">
        <v>64</v>
      </c>
      <c r="AM146" s="23" t="s">
        <v>65</v>
      </c>
      <c r="AN146" s="31" t="s">
        <v>219</v>
      </c>
      <c r="AO146" s="23" t="s">
        <v>67</v>
      </c>
      <c r="AP146" s="23" t="s">
        <v>71</v>
      </c>
      <c r="AQ146" s="34">
        <v>6507.01</v>
      </c>
      <c r="AR146" s="23" t="s">
        <v>78</v>
      </c>
      <c r="AS146" s="23">
        <v>65</v>
      </c>
      <c r="AT146" s="23">
        <v>7</v>
      </c>
      <c r="AU146" s="23">
        <v>1</v>
      </c>
    </row>
    <row r="147" spans="1:47">
      <c r="A147" s="26" t="s">
        <v>62</v>
      </c>
      <c r="B147" s="23" t="s">
        <v>55</v>
      </c>
      <c r="C147" s="23">
        <v>3</v>
      </c>
      <c r="D147" s="23"/>
      <c r="E147" s="23" t="s">
        <v>60</v>
      </c>
      <c r="F147" s="23" t="s">
        <v>4</v>
      </c>
      <c r="G147" s="27">
        <v>2012</v>
      </c>
      <c r="H147" s="27">
        <v>20</v>
      </c>
      <c r="I147" s="27">
        <v>25</v>
      </c>
      <c r="J147" s="27">
        <v>20</v>
      </c>
      <c r="K147" s="27">
        <v>14</v>
      </c>
      <c r="L147" s="27">
        <v>14</v>
      </c>
      <c r="M147" s="27">
        <v>14</v>
      </c>
      <c r="N147" s="27"/>
      <c r="O147" s="27"/>
      <c r="P147" s="28">
        <v>42</v>
      </c>
      <c r="Q147" s="28">
        <v>26.68</v>
      </c>
      <c r="R147" s="28">
        <v>40.266666666666666</v>
      </c>
      <c r="S147" s="27">
        <v>80</v>
      </c>
      <c r="T147" s="29">
        <v>353.6</v>
      </c>
      <c r="U147" s="27">
        <v>260</v>
      </c>
      <c r="V147" s="27">
        <v>12</v>
      </c>
      <c r="W147" s="27">
        <v>106</v>
      </c>
      <c r="X147" s="29">
        <v>200</v>
      </c>
      <c r="Y147" s="27" t="s">
        <v>69</v>
      </c>
      <c r="Z147" s="27" t="s">
        <v>69</v>
      </c>
      <c r="AA147" s="29">
        <v>5</v>
      </c>
      <c r="AB147" s="29">
        <v>8</v>
      </c>
      <c r="AC147" s="29" t="s">
        <v>386</v>
      </c>
      <c r="AD147" s="29" t="s">
        <v>386</v>
      </c>
      <c r="AE147" s="29" t="s">
        <v>386</v>
      </c>
      <c r="AF147" s="29" t="s">
        <v>386</v>
      </c>
      <c r="AG147" s="27">
        <v>13</v>
      </c>
      <c r="AH147" s="27">
        <v>0</v>
      </c>
      <c r="AI147" s="27">
        <v>0</v>
      </c>
      <c r="AJ147" s="23" t="s">
        <v>59</v>
      </c>
      <c r="AK147" s="23" t="s">
        <v>63</v>
      </c>
      <c r="AL147" s="30" t="s">
        <v>64</v>
      </c>
      <c r="AM147" s="23"/>
      <c r="AN147" s="31" t="s">
        <v>220</v>
      </c>
      <c r="AO147" s="23" t="s">
        <v>66</v>
      </c>
      <c r="AP147" s="23" t="s">
        <v>71</v>
      </c>
      <c r="AQ147" s="34">
        <v>6508</v>
      </c>
      <c r="AR147" s="23" t="s">
        <v>78</v>
      </c>
      <c r="AS147" s="23">
        <v>65</v>
      </c>
      <c r="AT147" s="23">
        <v>8</v>
      </c>
      <c r="AU147" s="23">
        <v>0</v>
      </c>
    </row>
    <row r="148" spans="1:47">
      <c r="A148" s="26" t="s">
        <v>62</v>
      </c>
      <c r="B148" s="23" t="s">
        <v>55</v>
      </c>
      <c r="C148" s="23">
        <v>3</v>
      </c>
      <c r="D148" s="23"/>
      <c r="E148" s="23" t="s">
        <v>60</v>
      </c>
      <c r="F148" s="23" t="s">
        <v>4</v>
      </c>
      <c r="G148" s="27">
        <v>2012</v>
      </c>
      <c r="H148" s="27">
        <v>20</v>
      </c>
      <c r="I148" s="27">
        <v>25</v>
      </c>
      <c r="J148" s="27">
        <v>20</v>
      </c>
      <c r="K148" s="27">
        <v>14</v>
      </c>
      <c r="L148" s="27">
        <v>14</v>
      </c>
      <c r="M148" s="27">
        <v>14</v>
      </c>
      <c r="N148" s="27"/>
      <c r="O148" s="27"/>
      <c r="P148" s="28">
        <v>42</v>
      </c>
      <c r="Q148" s="28">
        <v>26.68</v>
      </c>
      <c r="R148" s="28">
        <v>40.266666666666666</v>
      </c>
      <c r="S148" s="27">
        <v>80</v>
      </c>
      <c r="T148" s="29">
        <v>353.6</v>
      </c>
      <c r="U148" s="27">
        <v>260</v>
      </c>
      <c r="V148" s="27">
        <v>12</v>
      </c>
      <c r="W148" s="27">
        <v>106</v>
      </c>
      <c r="X148" s="29">
        <v>200</v>
      </c>
      <c r="Y148" s="27" t="s">
        <v>102</v>
      </c>
      <c r="Z148" s="27" t="s">
        <v>102</v>
      </c>
      <c r="AA148" s="29">
        <v>5</v>
      </c>
      <c r="AB148" s="29">
        <v>8</v>
      </c>
      <c r="AC148" s="29" t="s">
        <v>386</v>
      </c>
      <c r="AD148" s="29" t="s">
        <v>386</v>
      </c>
      <c r="AE148" s="29" t="s">
        <v>386</v>
      </c>
      <c r="AF148" s="29" t="s">
        <v>386</v>
      </c>
      <c r="AG148" s="27">
        <v>13</v>
      </c>
      <c r="AH148" s="27">
        <v>0</v>
      </c>
      <c r="AI148" s="27">
        <v>0</v>
      </c>
      <c r="AJ148" s="23" t="s">
        <v>59</v>
      </c>
      <c r="AK148" s="23" t="s">
        <v>63</v>
      </c>
      <c r="AL148" s="30" t="s">
        <v>64</v>
      </c>
      <c r="AM148" s="23"/>
      <c r="AN148" s="31" t="s">
        <v>220</v>
      </c>
      <c r="AO148" s="23" t="s">
        <v>66</v>
      </c>
      <c r="AP148" s="23" t="s">
        <v>71</v>
      </c>
      <c r="AQ148" s="34">
        <v>6508.01</v>
      </c>
      <c r="AR148" s="23" t="s">
        <v>78</v>
      </c>
      <c r="AS148" s="23">
        <v>65</v>
      </c>
      <c r="AT148" s="23">
        <v>8</v>
      </c>
      <c r="AU148" s="23">
        <v>1</v>
      </c>
    </row>
    <row r="149" spans="1:47">
      <c r="A149" s="26" t="s">
        <v>62</v>
      </c>
      <c r="B149" s="23" t="s">
        <v>55</v>
      </c>
      <c r="C149" s="23">
        <v>3</v>
      </c>
      <c r="D149" s="23"/>
      <c r="E149" s="23" t="s">
        <v>60</v>
      </c>
      <c r="F149" s="23" t="s">
        <v>4</v>
      </c>
      <c r="G149" s="27">
        <v>2012</v>
      </c>
      <c r="H149" s="27">
        <v>20</v>
      </c>
      <c r="I149" s="27">
        <v>25</v>
      </c>
      <c r="J149" s="27">
        <v>20</v>
      </c>
      <c r="K149" s="27">
        <v>14</v>
      </c>
      <c r="L149" s="27">
        <v>14</v>
      </c>
      <c r="M149" s="27">
        <v>14</v>
      </c>
      <c r="N149" s="27"/>
      <c r="O149" s="27"/>
      <c r="P149" s="28">
        <v>42</v>
      </c>
      <c r="Q149" s="28">
        <v>26.68</v>
      </c>
      <c r="R149" s="28">
        <v>40.266666666666666</v>
      </c>
      <c r="S149" s="27">
        <v>80</v>
      </c>
      <c r="T149" s="29">
        <v>353.6</v>
      </c>
      <c r="U149" s="27">
        <v>260</v>
      </c>
      <c r="V149" s="27">
        <v>12</v>
      </c>
      <c r="W149" s="27">
        <v>106</v>
      </c>
      <c r="X149" s="29">
        <v>200</v>
      </c>
      <c r="Y149" s="27" t="s">
        <v>114</v>
      </c>
      <c r="Z149" s="27" t="s">
        <v>114</v>
      </c>
      <c r="AA149" s="29">
        <v>5</v>
      </c>
      <c r="AB149" s="29">
        <v>8</v>
      </c>
      <c r="AC149" s="29" t="s">
        <v>386</v>
      </c>
      <c r="AD149" s="29" t="s">
        <v>386</v>
      </c>
      <c r="AE149" s="29" t="s">
        <v>386</v>
      </c>
      <c r="AF149" s="29" t="s">
        <v>386</v>
      </c>
      <c r="AG149" s="27">
        <v>13</v>
      </c>
      <c r="AH149" s="27">
        <v>0</v>
      </c>
      <c r="AI149" s="27">
        <v>0</v>
      </c>
      <c r="AJ149" s="23" t="s">
        <v>59</v>
      </c>
      <c r="AK149" s="23" t="s">
        <v>63</v>
      </c>
      <c r="AL149" s="30" t="s">
        <v>64</v>
      </c>
      <c r="AM149" s="23"/>
      <c r="AN149" s="31" t="s">
        <v>220</v>
      </c>
      <c r="AO149" s="23" t="s">
        <v>66</v>
      </c>
      <c r="AP149" s="23" t="s">
        <v>71</v>
      </c>
      <c r="AQ149" s="34">
        <v>6508.02</v>
      </c>
      <c r="AR149" s="23" t="s">
        <v>188</v>
      </c>
      <c r="AS149" s="23">
        <v>65</v>
      </c>
      <c r="AT149" s="23">
        <v>8</v>
      </c>
      <c r="AU149" s="23">
        <v>2</v>
      </c>
    </row>
    <row r="150" spans="1:47">
      <c r="A150" s="26" t="s">
        <v>62</v>
      </c>
      <c r="B150" s="23" t="s">
        <v>55</v>
      </c>
      <c r="C150" s="23">
        <v>3</v>
      </c>
      <c r="D150" s="23"/>
      <c r="E150" s="23" t="s">
        <v>60</v>
      </c>
      <c r="F150" s="23" t="s">
        <v>4</v>
      </c>
      <c r="G150" s="27">
        <v>2012</v>
      </c>
      <c r="H150" s="27">
        <v>20</v>
      </c>
      <c r="I150" s="27">
        <v>25</v>
      </c>
      <c r="J150" s="27">
        <v>20</v>
      </c>
      <c r="K150" s="27">
        <v>14</v>
      </c>
      <c r="L150" s="27">
        <v>14</v>
      </c>
      <c r="M150" s="27">
        <v>14</v>
      </c>
      <c r="N150" s="27"/>
      <c r="O150" s="27"/>
      <c r="P150" s="28">
        <v>42</v>
      </c>
      <c r="Q150" s="28">
        <v>26.68</v>
      </c>
      <c r="R150" s="28">
        <v>40.266666666666666</v>
      </c>
      <c r="S150" s="27">
        <v>80</v>
      </c>
      <c r="T150" s="29">
        <v>353.6</v>
      </c>
      <c r="U150" s="27">
        <v>260</v>
      </c>
      <c r="V150" s="27">
        <v>12</v>
      </c>
      <c r="W150" s="27">
        <v>106</v>
      </c>
      <c r="X150" s="29">
        <v>200</v>
      </c>
      <c r="Y150" s="27" t="s">
        <v>103</v>
      </c>
      <c r="Z150" s="27" t="s">
        <v>164</v>
      </c>
      <c r="AA150" s="29">
        <v>5</v>
      </c>
      <c r="AB150" s="29">
        <v>8</v>
      </c>
      <c r="AC150" s="29" t="s">
        <v>386</v>
      </c>
      <c r="AD150" s="29" t="s">
        <v>386</v>
      </c>
      <c r="AE150" s="29" t="s">
        <v>386</v>
      </c>
      <c r="AF150" s="29" t="s">
        <v>386</v>
      </c>
      <c r="AG150" s="27">
        <v>13</v>
      </c>
      <c r="AH150" s="27">
        <v>0</v>
      </c>
      <c r="AI150" s="27">
        <v>0</v>
      </c>
      <c r="AJ150" s="23" t="s">
        <v>59</v>
      </c>
      <c r="AK150" s="23" t="s">
        <v>63</v>
      </c>
      <c r="AL150" s="30" t="s">
        <v>64</v>
      </c>
      <c r="AM150" s="23"/>
      <c r="AN150" s="31" t="s">
        <v>220</v>
      </c>
      <c r="AO150" s="23" t="s">
        <v>66</v>
      </c>
      <c r="AP150" s="23" t="s">
        <v>71</v>
      </c>
      <c r="AQ150" s="34">
        <v>6508.03</v>
      </c>
      <c r="AR150" s="23" t="s">
        <v>188</v>
      </c>
      <c r="AS150" s="23">
        <v>65</v>
      </c>
      <c r="AT150" s="23">
        <v>8</v>
      </c>
      <c r="AU150" s="23">
        <v>3</v>
      </c>
    </row>
    <row r="151" spans="1:47">
      <c r="A151" s="26" t="s">
        <v>62</v>
      </c>
      <c r="B151" s="23" t="s">
        <v>55</v>
      </c>
      <c r="C151" s="23">
        <v>3</v>
      </c>
      <c r="D151" s="23"/>
      <c r="E151" s="23" t="s">
        <v>60</v>
      </c>
      <c r="F151" s="23" t="s">
        <v>4</v>
      </c>
      <c r="G151" s="27">
        <v>2012</v>
      </c>
      <c r="H151" s="27">
        <v>20</v>
      </c>
      <c r="I151" s="27">
        <v>25</v>
      </c>
      <c r="J151" s="27">
        <v>20</v>
      </c>
      <c r="K151" s="27">
        <v>14</v>
      </c>
      <c r="L151" s="27">
        <v>14</v>
      </c>
      <c r="M151" s="27">
        <v>14</v>
      </c>
      <c r="N151" s="27"/>
      <c r="O151" s="27"/>
      <c r="P151" s="28">
        <v>42</v>
      </c>
      <c r="Q151" s="28">
        <v>26.68</v>
      </c>
      <c r="R151" s="28">
        <v>40.266666666666666</v>
      </c>
      <c r="S151" s="27">
        <v>80</v>
      </c>
      <c r="T151" s="29">
        <v>353.6</v>
      </c>
      <c r="U151" s="27">
        <v>260</v>
      </c>
      <c r="V151" s="27">
        <v>12</v>
      </c>
      <c r="W151" s="27">
        <v>106</v>
      </c>
      <c r="X151" s="29">
        <v>200</v>
      </c>
      <c r="Y151" s="27" t="s">
        <v>104</v>
      </c>
      <c r="Z151" s="27" t="s">
        <v>164</v>
      </c>
      <c r="AA151" s="29">
        <v>5</v>
      </c>
      <c r="AB151" s="29">
        <v>8</v>
      </c>
      <c r="AC151" s="29" t="s">
        <v>386</v>
      </c>
      <c r="AD151" s="29" t="s">
        <v>386</v>
      </c>
      <c r="AE151" s="29" t="s">
        <v>386</v>
      </c>
      <c r="AF151" s="29" t="s">
        <v>386</v>
      </c>
      <c r="AG151" s="27">
        <v>13</v>
      </c>
      <c r="AH151" s="27">
        <v>0</v>
      </c>
      <c r="AI151" s="27">
        <v>0</v>
      </c>
      <c r="AJ151" s="23" t="s">
        <v>59</v>
      </c>
      <c r="AK151" s="23" t="s">
        <v>63</v>
      </c>
      <c r="AL151" s="30" t="s">
        <v>64</v>
      </c>
      <c r="AM151" s="23"/>
      <c r="AN151" s="31" t="s">
        <v>220</v>
      </c>
      <c r="AO151" s="23" t="s">
        <v>66</v>
      </c>
      <c r="AP151" s="23" t="s">
        <v>71</v>
      </c>
      <c r="AQ151" s="34">
        <v>6508.04</v>
      </c>
      <c r="AR151" s="23" t="s">
        <v>188</v>
      </c>
      <c r="AS151" s="23">
        <v>65</v>
      </c>
      <c r="AT151" s="23">
        <v>8</v>
      </c>
      <c r="AU151" s="23">
        <v>4</v>
      </c>
    </row>
    <row r="152" spans="1:47">
      <c r="A152" s="26" t="s">
        <v>62</v>
      </c>
      <c r="B152" s="23" t="s">
        <v>55</v>
      </c>
      <c r="C152" s="23">
        <v>3</v>
      </c>
      <c r="D152" s="23"/>
      <c r="E152" s="23" t="s">
        <v>60</v>
      </c>
      <c r="F152" s="23" t="s">
        <v>4</v>
      </c>
      <c r="G152" s="27">
        <v>2012</v>
      </c>
      <c r="H152" s="27">
        <v>20</v>
      </c>
      <c r="I152" s="27">
        <v>25</v>
      </c>
      <c r="J152" s="27">
        <v>20</v>
      </c>
      <c r="K152" s="27">
        <v>7</v>
      </c>
      <c r="L152" s="27">
        <v>14</v>
      </c>
      <c r="M152" s="27">
        <v>14</v>
      </c>
      <c r="N152" s="27"/>
      <c r="O152" s="27"/>
      <c r="P152" s="28">
        <v>35</v>
      </c>
      <c r="Q152" s="28">
        <v>26.18</v>
      </c>
      <c r="R152" s="28">
        <v>39.766666666666666</v>
      </c>
      <c r="S152" s="27">
        <v>80</v>
      </c>
      <c r="T152" s="29">
        <v>353.6</v>
      </c>
      <c r="U152" s="27">
        <v>260</v>
      </c>
      <c r="V152" s="27">
        <v>12</v>
      </c>
      <c r="W152" s="27">
        <v>106</v>
      </c>
      <c r="X152" s="29">
        <v>200</v>
      </c>
      <c r="Y152" s="27" t="s">
        <v>115</v>
      </c>
      <c r="Z152" s="27" t="s">
        <v>115</v>
      </c>
      <c r="AA152" s="29">
        <v>5</v>
      </c>
      <c r="AB152" s="29">
        <v>8</v>
      </c>
      <c r="AC152" s="29" t="s">
        <v>386</v>
      </c>
      <c r="AD152" s="29" t="s">
        <v>386</v>
      </c>
      <c r="AE152" s="29" t="s">
        <v>386</v>
      </c>
      <c r="AF152" s="29" t="s">
        <v>386</v>
      </c>
      <c r="AG152" s="27">
        <v>13</v>
      </c>
      <c r="AH152" s="27">
        <v>0</v>
      </c>
      <c r="AI152" s="27">
        <v>0</v>
      </c>
      <c r="AJ152" s="23" t="s">
        <v>59</v>
      </c>
      <c r="AK152" s="23" t="s">
        <v>63</v>
      </c>
      <c r="AL152" s="30" t="s">
        <v>64</v>
      </c>
      <c r="AM152" s="23"/>
      <c r="AN152" s="31" t="s">
        <v>220</v>
      </c>
      <c r="AO152" s="23" t="s">
        <v>66</v>
      </c>
      <c r="AP152" s="23" t="s">
        <v>71</v>
      </c>
      <c r="AQ152" s="34">
        <v>6508.05</v>
      </c>
      <c r="AR152" s="23" t="s">
        <v>188</v>
      </c>
      <c r="AS152" s="23">
        <v>65</v>
      </c>
      <c r="AT152" s="23">
        <v>8</v>
      </c>
      <c r="AU152" s="23">
        <v>5</v>
      </c>
    </row>
    <row r="153" spans="1:47">
      <c r="A153" s="26" t="s">
        <v>62</v>
      </c>
      <c r="B153" s="23" t="s">
        <v>55</v>
      </c>
      <c r="C153" s="23">
        <v>3</v>
      </c>
      <c r="D153" s="23"/>
      <c r="E153" s="23" t="s">
        <v>61</v>
      </c>
      <c r="F153" s="23" t="s">
        <v>101</v>
      </c>
      <c r="G153" s="27">
        <v>2014</v>
      </c>
      <c r="H153" s="27">
        <v>20</v>
      </c>
      <c r="I153" s="27">
        <v>25</v>
      </c>
      <c r="J153" s="27">
        <v>20</v>
      </c>
      <c r="K153" s="27">
        <v>14</v>
      </c>
      <c r="L153" s="27">
        <v>14</v>
      </c>
      <c r="M153" s="27">
        <v>14</v>
      </c>
      <c r="N153" s="27"/>
      <c r="O153" s="27"/>
      <c r="P153" s="28">
        <v>42</v>
      </c>
      <c r="Q153" s="28">
        <v>28.751999999999999</v>
      </c>
      <c r="R153" s="28">
        <v>28.541333333333338</v>
      </c>
      <c r="S153" s="27">
        <v>80</v>
      </c>
      <c r="T153" s="29">
        <v>299.20000000000005</v>
      </c>
      <c r="U153" s="27">
        <v>220</v>
      </c>
      <c r="V153" s="27">
        <v>13</v>
      </c>
      <c r="W153" s="27">
        <v>106</v>
      </c>
      <c r="X153" s="29">
        <v>200</v>
      </c>
      <c r="Y153" s="27" t="s">
        <v>69</v>
      </c>
      <c r="Z153" s="27" t="s">
        <v>69</v>
      </c>
      <c r="AA153" s="29">
        <v>5</v>
      </c>
      <c r="AB153" s="29">
        <v>8</v>
      </c>
      <c r="AC153" s="29" t="s">
        <v>386</v>
      </c>
      <c r="AD153" s="29" t="s">
        <v>386</v>
      </c>
      <c r="AE153" s="29" t="s">
        <v>386</v>
      </c>
      <c r="AF153" s="29" t="s">
        <v>386</v>
      </c>
      <c r="AG153" s="27">
        <v>13</v>
      </c>
      <c r="AH153" s="27">
        <v>0</v>
      </c>
      <c r="AI153" s="27">
        <v>0</v>
      </c>
      <c r="AJ153" s="23" t="s">
        <v>59</v>
      </c>
      <c r="AK153" s="23" t="s">
        <v>63</v>
      </c>
      <c r="AL153" s="30" t="s">
        <v>64</v>
      </c>
      <c r="AM153" s="23"/>
      <c r="AN153" s="31" t="s">
        <v>220</v>
      </c>
      <c r="AO153" s="23" t="s">
        <v>66</v>
      </c>
      <c r="AP153" s="23" t="s">
        <v>71</v>
      </c>
      <c r="AQ153" s="34">
        <v>6509</v>
      </c>
      <c r="AR153" s="23" t="s">
        <v>78</v>
      </c>
      <c r="AS153" s="23">
        <v>65</v>
      </c>
      <c r="AT153" s="23">
        <v>9</v>
      </c>
      <c r="AU153" s="23">
        <v>0</v>
      </c>
    </row>
    <row r="154" spans="1:47">
      <c r="A154" s="26" t="s">
        <v>62</v>
      </c>
      <c r="B154" s="23" t="s">
        <v>55</v>
      </c>
      <c r="C154" s="23">
        <v>3</v>
      </c>
      <c r="D154" s="23"/>
      <c r="E154" s="23" t="s">
        <v>61</v>
      </c>
      <c r="F154" s="23" t="s">
        <v>101</v>
      </c>
      <c r="G154" s="27">
        <v>2014</v>
      </c>
      <c r="H154" s="27">
        <v>20</v>
      </c>
      <c r="I154" s="27">
        <v>25</v>
      </c>
      <c r="J154" s="27">
        <v>20</v>
      </c>
      <c r="K154" s="27">
        <v>14</v>
      </c>
      <c r="L154" s="27">
        <v>14</v>
      </c>
      <c r="M154" s="27">
        <v>14</v>
      </c>
      <c r="N154" s="27"/>
      <c r="O154" s="27"/>
      <c r="P154" s="28">
        <v>42</v>
      </c>
      <c r="Q154" s="28">
        <v>28.751999999999999</v>
      </c>
      <c r="R154" s="28">
        <v>28.541333333333338</v>
      </c>
      <c r="S154" s="27">
        <v>80</v>
      </c>
      <c r="T154" s="29">
        <v>299.20000000000005</v>
      </c>
      <c r="U154" s="27">
        <v>220</v>
      </c>
      <c r="V154" s="27">
        <v>13</v>
      </c>
      <c r="W154" s="27">
        <v>106</v>
      </c>
      <c r="X154" s="29">
        <v>200</v>
      </c>
      <c r="Y154" s="27" t="s">
        <v>102</v>
      </c>
      <c r="Z154" s="27" t="s">
        <v>102</v>
      </c>
      <c r="AA154" s="29">
        <v>5</v>
      </c>
      <c r="AB154" s="29">
        <v>8</v>
      </c>
      <c r="AC154" s="29" t="s">
        <v>386</v>
      </c>
      <c r="AD154" s="29" t="s">
        <v>386</v>
      </c>
      <c r="AE154" s="29" t="s">
        <v>386</v>
      </c>
      <c r="AF154" s="29" t="s">
        <v>386</v>
      </c>
      <c r="AG154" s="27">
        <v>13</v>
      </c>
      <c r="AH154" s="27">
        <v>0</v>
      </c>
      <c r="AI154" s="27">
        <v>0</v>
      </c>
      <c r="AJ154" s="23" t="s">
        <v>59</v>
      </c>
      <c r="AK154" s="23" t="s">
        <v>63</v>
      </c>
      <c r="AL154" s="30" t="s">
        <v>64</v>
      </c>
      <c r="AM154" s="23"/>
      <c r="AN154" s="31" t="s">
        <v>220</v>
      </c>
      <c r="AO154" s="23" t="s">
        <v>66</v>
      </c>
      <c r="AP154" s="23" t="s">
        <v>71</v>
      </c>
      <c r="AQ154" s="34">
        <v>6509.01</v>
      </c>
      <c r="AR154" s="23" t="s">
        <v>78</v>
      </c>
      <c r="AS154" s="23">
        <v>65</v>
      </c>
      <c r="AT154" s="23">
        <v>9</v>
      </c>
      <c r="AU154" s="23">
        <v>1</v>
      </c>
    </row>
    <row r="155" spans="1:47">
      <c r="A155" s="26" t="s">
        <v>75</v>
      </c>
      <c r="B155" s="23" t="s">
        <v>55</v>
      </c>
      <c r="C155" s="23">
        <v>3</v>
      </c>
      <c r="D155" s="23"/>
      <c r="E155" s="23" t="s">
        <v>76</v>
      </c>
      <c r="F155" s="23" t="s">
        <v>23</v>
      </c>
      <c r="G155" s="27">
        <v>2018</v>
      </c>
      <c r="H155" s="27">
        <v>20</v>
      </c>
      <c r="I155" s="27">
        <v>25</v>
      </c>
      <c r="J155" s="27">
        <v>20</v>
      </c>
      <c r="K155" s="27">
        <v>14</v>
      </c>
      <c r="L155" s="27">
        <v>14</v>
      </c>
      <c r="M155" s="27">
        <v>14</v>
      </c>
      <c r="N155" s="27"/>
      <c r="O155" s="27"/>
      <c r="P155" s="28">
        <v>42</v>
      </c>
      <c r="Q155" s="28">
        <v>38.25</v>
      </c>
      <c r="R155" s="28">
        <v>20.943333333333335</v>
      </c>
      <c r="S155" s="27">
        <v>80</v>
      </c>
      <c r="T155" s="29">
        <v>340</v>
      </c>
      <c r="U155" s="27">
        <v>250</v>
      </c>
      <c r="V155" s="27">
        <v>13</v>
      </c>
      <c r="W155" s="27">
        <v>88</v>
      </c>
      <c r="X155" s="29">
        <v>200</v>
      </c>
      <c r="Y155" s="27" t="s">
        <v>69</v>
      </c>
      <c r="Z155" s="27" t="s">
        <v>69</v>
      </c>
      <c r="AA155" s="29">
        <v>5</v>
      </c>
      <c r="AB155" s="29">
        <v>8</v>
      </c>
      <c r="AC155" s="29" t="s">
        <v>386</v>
      </c>
      <c r="AD155" s="29" t="s">
        <v>386</v>
      </c>
      <c r="AE155" s="29" t="s">
        <v>386</v>
      </c>
      <c r="AF155" s="29" t="s">
        <v>386</v>
      </c>
      <c r="AG155" s="27">
        <v>13</v>
      </c>
      <c r="AH155" s="27">
        <v>0</v>
      </c>
      <c r="AI155" s="27">
        <v>0</v>
      </c>
      <c r="AJ155" s="23" t="s">
        <v>59</v>
      </c>
      <c r="AK155" s="23" t="s">
        <v>63</v>
      </c>
      <c r="AL155" s="30" t="s">
        <v>64</v>
      </c>
      <c r="AM155" s="23"/>
      <c r="AN155" s="31" t="s">
        <v>220</v>
      </c>
      <c r="AO155" s="23" t="s">
        <v>66</v>
      </c>
      <c r="AP155" s="23" t="s">
        <v>71</v>
      </c>
      <c r="AQ155" s="34">
        <v>6510</v>
      </c>
      <c r="AR155" s="23" t="s">
        <v>78</v>
      </c>
      <c r="AS155" s="23">
        <v>65</v>
      </c>
      <c r="AT155" s="23">
        <v>10</v>
      </c>
      <c r="AU155" s="23">
        <v>0</v>
      </c>
    </row>
    <row r="156" spans="1:47">
      <c r="A156" s="26" t="s">
        <v>75</v>
      </c>
      <c r="B156" s="23" t="s">
        <v>55</v>
      </c>
      <c r="C156" s="23">
        <v>3</v>
      </c>
      <c r="D156" s="23"/>
      <c r="E156" s="23" t="s">
        <v>76</v>
      </c>
      <c r="F156" s="23" t="s">
        <v>23</v>
      </c>
      <c r="G156" s="27">
        <v>2018</v>
      </c>
      <c r="H156" s="27">
        <v>20</v>
      </c>
      <c r="I156" s="27">
        <v>25</v>
      </c>
      <c r="J156" s="27">
        <v>20</v>
      </c>
      <c r="K156" s="27">
        <v>14</v>
      </c>
      <c r="L156" s="27">
        <v>14</v>
      </c>
      <c r="M156" s="27">
        <v>14</v>
      </c>
      <c r="N156" s="27"/>
      <c r="O156" s="27"/>
      <c r="P156" s="28">
        <v>42</v>
      </c>
      <c r="Q156" s="28">
        <v>38.25</v>
      </c>
      <c r="R156" s="28">
        <v>20.943333333333335</v>
      </c>
      <c r="S156" s="27">
        <v>80</v>
      </c>
      <c r="T156" s="29">
        <v>340</v>
      </c>
      <c r="U156" s="27">
        <v>250</v>
      </c>
      <c r="V156" s="27">
        <v>13</v>
      </c>
      <c r="W156" s="27">
        <v>88</v>
      </c>
      <c r="X156" s="29">
        <v>200</v>
      </c>
      <c r="Y156" s="27" t="s">
        <v>102</v>
      </c>
      <c r="Z156" s="27" t="s">
        <v>102</v>
      </c>
      <c r="AA156" s="29">
        <v>5</v>
      </c>
      <c r="AB156" s="29">
        <v>8</v>
      </c>
      <c r="AC156" s="29" t="s">
        <v>386</v>
      </c>
      <c r="AD156" s="29" t="s">
        <v>386</v>
      </c>
      <c r="AE156" s="29" t="s">
        <v>386</v>
      </c>
      <c r="AF156" s="29" t="s">
        <v>386</v>
      </c>
      <c r="AG156" s="27">
        <v>13</v>
      </c>
      <c r="AH156" s="27">
        <v>0</v>
      </c>
      <c r="AI156" s="27">
        <v>0</v>
      </c>
      <c r="AJ156" s="23" t="s">
        <v>59</v>
      </c>
      <c r="AK156" s="23" t="s">
        <v>63</v>
      </c>
      <c r="AL156" s="30" t="s">
        <v>64</v>
      </c>
      <c r="AM156" s="23"/>
      <c r="AN156" s="31" t="s">
        <v>220</v>
      </c>
      <c r="AO156" s="23" t="s">
        <v>66</v>
      </c>
      <c r="AP156" s="23" t="s">
        <v>71</v>
      </c>
      <c r="AQ156" s="34">
        <v>6510.01</v>
      </c>
      <c r="AR156" s="23" t="s">
        <v>78</v>
      </c>
      <c r="AS156" s="23">
        <v>65</v>
      </c>
      <c r="AT156" s="23">
        <v>10</v>
      </c>
      <c r="AU156" s="23">
        <v>1</v>
      </c>
    </row>
    <row r="157" spans="1:47">
      <c r="A157" s="26" t="s">
        <v>75</v>
      </c>
      <c r="B157" s="23" t="s">
        <v>55</v>
      </c>
      <c r="C157" s="23">
        <v>3</v>
      </c>
      <c r="D157" s="23"/>
      <c r="E157" s="23" t="s">
        <v>76</v>
      </c>
      <c r="F157" s="23" t="s">
        <v>23</v>
      </c>
      <c r="G157" s="27">
        <v>2018</v>
      </c>
      <c r="H157" s="27">
        <v>20</v>
      </c>
      <c r="I157" s="27">
        <v>25</v>
      </c>
      <c r="J157" s="27">
        <v>20</v>
      </c>
      <c r="K157" s="27">
        <v>14</v>
      </c>
      <c r="L157" s="27">
        <v>14</v>
      </c>
      <c r="M157" s="27">
        <v>14</v>
      </c>
      <c r="N157" s="27"/>
      <c r="O157" s="27"/>
      <c r="P157" s="28">
        <v>42</v>
      </c>
      <c r="Q157" s="28">
        <v>38.25</v>
      </c>
      <c r="R157" s="28">
        <v>20.943333333333335</v>
      </c>
      <c r="S157" s="27">
        <v>80</v>
      </c>
      <c r="T157" s="29">
        <v>340</v>
      </c>
      <c r="U157" s="27">
        <v>250</v>
      </c>
      <c r="V157" s="27">
        <v>13</v>
      </c>
      <c r="W157" s="27">
        <v>88</v>
      </c>
      <c r="X157" s="29">
        <v>200</v>
      </c>
      <c r="Y157" s="27" t="s">
        <v>107</v>
      </c>
      <c r="Z157" s="27" t="s">
        <v>107</v>
      </c>
      <c r="AA157" s="29">
        <v>5</v>
      </c>
      <c r="AB157" s="29">
        <v>8</v>
      </c>
      <c r="AC157" s="29" t="s">
        <v>386</v>
      </c>
      <c r="AD157" s="29" t="s">
        <v>386</v>
      </c>
      <c r="AE157" s="29" t="s">
        <v>386</v>
      </c>
      <c r="AF157" s="29" t="s">
        <v>386</v>
      </c>
      <c r="AG157" s="27">
        <v>13</v>
      </c>
      <c r="AH157" s="27">
        <v>0</v>
      </c>
      <c r="AI157" s="27">
        <v>0</v>
      </c>
      <c r="AJ157" s="23" t="s">
        <v>59</v>
      </c>
      <c r="AK157" s="23" t="s">
        <v>63</v>
      </c>
      <c r="AL157" s="30" t="s">
        <v>64</v>
      </c>
      <c r="AM157" s="23"/>
      <c r="AN157" s="31" t="s">
        <v>220</v>
      </c>
      <c r="AO157" s="23" t="s">
        <v>66</v>
      </c>
      <c r="AP157" s="23" t="s">
        <v>71</v>
      </c>
      <c r="AQ157" s="34">
        <v>6510.02</v>
      </c>
      <c r="AR157" s="23" t="s">
        <v>188</v>
      </c>
      <c r="AS157" s="23">
        <v>65</v>
      </c>
      <c r="AT157" s="23">
        <v>10</v>
      </c>
      <c r="AU157" s="23">
        <v>2</v>
      </c>
    </row>
    <row r="158" spans="1:47">
      <c r="A158" s="26" t="s">
        <v>75</v>
      </c>
      <c r="B158" s="23" t="s">
        <v>55</v>
      </c>
      <c r="C158" s="23">
        <v>3</v>
      </c>
      <c r="D158" s="23"/>
      <c r="E158" s="23" t="s">
        <v>76</v>
      </c>
      <c r="F158" s="23" t="s">
        <v>23</v>
      </c>
      <c r="G158" s="27">
        <v>2018</v>
      </c>
      <c r="H158" s="27">
        <v>20</v>
      </c>
      <c r="I158" s="27">
        <v>25</v>
      </c>
      <c r="J158" s="27">
        <v>20</v>
      </c>
      <c r="K158" s="27">
        <v>14</v>
      </c>
      <c r="L158" s="27">
        <v>14</v>
      </c>
      <c r="M158" s="27">
        <v>14</v>
      </c>
      <c r="N158" s="27"/>
      <c r="O158" s="27"/>
      <c r="P158" s="28">
        <v>42</v>
      </c>
      <c r="Q158" s="28">
        <v>38.25</v>
      </c>
      <c r="R158" s="28">
        <v>20.943333333333335</v>
      </c>
      <c r="S158" s="27">
        <v>80</v>
      </c>
      <c r="T158" s="29">
        <v>340</v>
      </c>
      <c r="U158" s="27">
        <v>250</v>
      </c>
      <c r="V158" s="27">
        <v>13</v>
      </c>
      <c r="W158" s="27">
        <v>88</v>
      </c>
      <c r="X158" s="29">
        <v>200</v>
      </c>
      <c r="Y158" s="27" t="s">
        <v>104</v>
      </c>
      <c r="Z158" s="27" t="s">
        <v>164</v>
      </c>
      <c r="AA158" s="29">
        <v>5</v>
      </c>
      <c r="AB158" s="29">
        <v>8</v>
      </c>
      <c r="AC158" s="29" t="s">
        <v>386</v>
      </c>
      <c r="AD158" s="29" t="s">
        <v>386</v>
      </c>
      <c r="AE158" s="29" t="s">
        <v>386</v>
      </c>
      <c r="AF158" s="29" t="s">
        <v>386</v>
      </c>
      <c r="AG158" s="27">
        <v>13</v>
      </c>
      <c r="AH158" s="27">
        <v>0</v>
      </c>
      <c r="AI158" s="27">
        <v>0</v>
      </c>
      <c r="AJ158" s="23" t="s">
        <v>59</v>
      </c>
      <c r="AK158" s="23" t="s">
        <v>63</v>
      </c>
      <c r="AL158" s="30" t="s">
        <v>64</v>
      </c>
      <c r="AM158" s="23"/>
      <c r="AN158" s="31" t="s">
        <v>220</v>
      </c>
      <c r="AO158" s="23" t="s">
        <v>66</v>
      </c>
      <c r="AP158" s="23" t="s">
        <v>71</v>
      </c>
      <c r="AQ158" s="34">
        <v>6510.03</v>
      </c>
      <c r="AR158" s="23" t="s">
        <v>188</v>
      </c>
      <c r="AS158" s="23">
        <v>65</v>
      </c>
      <c r="AT158" s="23">
        <v>10</v>
      </c>
      <c r="AU158" s="23">
        <v>3</v>
      </c>
    </row>
    <row r="159" spans="1:47">
      <c r="A159" s="26" t="s">
        <v>75</v>
      </c>
      <c r="B159" s="23" t="s">
        <v>55</v>
      </c>
      <c r="C159" s="23">
        <v>3</v>
      </c>
      <c r="D159" s="23"/>
      <c r="E159" s="23" t="s">
        <v>76</v>
      </c>
      <c r="F159" s="23" t="s">
        <v>23</v>
      </c>
      <c r="G159" s="27">
        <v>2018</v>
      </c>
      <c r="H159" s="27">
        <v>20</v>
      </c>
      <c r="I159" s="27">
        <v>25</v>
      </c>
      <c r="J159" s="27">
        <v>20</v>
      </c>
      <c r="K159" s="27">
        <v>14</v>
      </c>
      <c r="L159" s="27">
        <v>14</v>
      </c>
      <c r="M159" s="27">
        <v>14</v>
      </c>
      <c r="N159" s="27"/>
      <c r="O159" s="27"/>
      <c r="P159" s="28">
        <v>42</v>
      </c>
      <c r="Q159" s="28">
        <v>38.25</v>
      </c>
      <c r="R159" s="28">
        <v>20.943333333333335</v>
      </c>
      <c r="S159" s="27">
        <v>80</v>
      </c>
      <c r="T159" s="29">
        <v>340</v>
      </c>
      <c r="U159" s="27">
        <v>250</v>
      </c>
      <c r="V159" s="27">
        <v>13</v>
      </c>
      <c r="W159" s="27">
        <v>88</v>
      </c>
      <c r="X159" s="29">
        <v>200</v>
      </c>
      <c r="Y159" s="27" t="s">
        <v>103</v>
      </c>
      <c r="Z159" s="27" t="s">
        <v>164</v>
      </c>
      <c r="AA159" s="29">
        <v>5</v>
      </c>
      <c r="AB159" s="29">
        <v>8</v>
      </c>
      <c r="AC159" s="29" t="s">
        <v>386</v>
      </c>
      <c r="AD159" s="29" t="s">
        <v>386</v>
      </c>
      <c r="AE159" s="29" t="s">
        <v>386</v>
      </c>
      <c r="AF159" s="29" t="s">
        <v>386</v>
      </c>
      <c r="AG159" s="27">
        <v>13</v>
      </c>
      <c r="AH159" s="27">
        <v>0</v>
      </c>
      <c r="AI159" s="27">
        <v>0</v>
      </c>
      <c r="AJ159" s="23" t="s">
        <v>59</v>
      </c>
      <c r="AK159" s="23" t="s">
        <v>63</v>
      </c>
      <c r="AL159" s="30" t="s">
        <v>64</v>
      </c>
      <c r="AM159" s="23"/>
      <c r="AN159" s="31" t="s">
        <v>220</v>
      </c>
      <c r="AO159" s="23" t="s">
        <v>66</v>
      </c>
      <c r="AP159" s="23" t="s">
        <v>71</v>
      </c>
      <c r="AQ159" s="34">
        <v>6510.04</v>
      </c>
      <c r="AR159" s="23" t="s">
        <v>188</v>
      </c>
      <c r="AS159" s="23">
        <v>65</v>
      </c>
      <c r="AT159" s="23">
        <v>10</v>
      </c>
      <c r="AU159" s="23">
        <v>4</v>
      </c>
    </row>
    <row r="160" spans="1:47">
      <c r="A160" s="26" t="s">
        <v>75</v>
      </c>
      <c r="B160" s="23" t="s">
        <v>55</v>
      </c>
      <c r="C160" s="23">
        <v>3</v>
      </c>
      <c r="D160" s="23"/>
      <c r="E160" s="23" t="s">
        <v>76</v>
      </c>
      <c r="F160" s="23" t="s">
        <v>23</v>
      </c>
      <c r="G160" s="27">
        <v>2018</v>
      </c>
      <c r="H160" s="27">
        <v>20</v>
      </c>
      <c r="I160" s="27">
        <v>25</v>
      </c>
      <c r="J160" s="27">
        <v>20</v>
      </c>
      <c r="K160" s="27">
        <v>14</v>
      </c>
      <c r="L160" s="27">
        <v>14</v>
      </c>
      <c r="M160" s="27">
        <v>14</v>
      </c>
      <c r="N160" s="27"/>
      <c r="O160" s="27"/>
      <c r="P160" s="28">
        <v>42</v>
      </c>
      <c r="Q160" s="28">
        <v>38.25</v>
      </c>
      <c r="R160" s="28">
        <v>20.943333333333335</v>
      </c>
      <c r="S160" s="27">
        <v>80</v>
      </c>
      <c r="T160" s="29">
        <v>340</v>
      </c>
      <c r="U160" s="27">
        <v>250</v>
      </c>
      <c r="V160" s="27">
        <v>13</v>
      </c>
      <c r="W160" s="27">
        <v>88</v>
      </c>
      <c r="X160" s="29">
        <v>200</v>
      </c>
      <c r="Y160" s="27" t="s">
        <v>116</v>
      </c>
      <c r="Z160" s="27" t="s">
        <v>116</v>
      </c>
      <c r="AA160" s="29">
        <v>5</v>
      </c>
      <c r="AB160" s="29">
        <v>8</v>
      </c>
      <c r="AC160" s="29" t="s">
        <v>386</v>
      </c>
      <c r="AD160" s="29" t="s">
        <v>386</v>
      </c>
      <c r="AE160" s="29" t="s">
        <v>386</v>
      </c>
      <c r="AF160" s="29" t="s">
        <v>386</v>
      </c>
      <c r="AG160" s="27">
        <v>13</v>
      </c>
      <c r="AH160" s="27">
        <v>0</v>
      </c>
      <c r="AI160" s="27">
        <v>0</v>
      </c>
      <c r="AJ160" s="23" t="s">
        <v>59</v>
      </c>
      <c r="AK160" s="23" t="s">
        <v>63</v>
      </c>
      <c r="AL160" s="30" t="s">
        <v>64</v>
      </c>
      <c r="AM160" s="23"/>
      <c r="AN160" s="31" t="s">
        <v>220</v>
      </c>
      <c r="AO160" s="23" t="s">
        <v>66</v>
      </c>
      <c r="AP160" s="23" t="s">
        <v>71</v>
      </c>
      <c r="AQ160" s="34">
        <v>6510.05</v>
      </c>
      <c r="AR160" s="23" t="s">
        <v>188</v>
      </c>
      <c r="AS160" s="23">
        <v>65</v>
      </c>
      <c r="AT160" s="23">
        <v>10</v>
      </c>
      <c r="AU160" s="23">
        <v>5</v>
      </c>
    </row>
    <row r="161" spans="1:47">
      <c r="A161" s="26" t="s">
        <v>75</v>
      </c>
      <c r="B161" s="23" t="s">
        <v>55</v>
      </c>
      <c r="C161" s="23">
        <v>3</v>
      </c>
      <c r="D161" s="23"/>
      <c r="E161" s="23" t="s">
        <v>76</v>
      </c>
      <c r="F161" s="23" t="s">
        <v>23</v>
      </c>
      <c r="G161" s="27">
        <v>2018</v>
      </c>
      <c r="H161" s="27">
        <v>20</v>
      </c>
      <c r="I161" s="27">
        <v>25</v>
      </c>
      <c r="J161" s="27">
        <v>20</v>
      </c>
      <c r="K161" s="27">
        <v>14</v>
      </c>
      <c r="L161" s="27">
        <v>14</v>
      </c>
      <c r="M161" s="27">
        <v>14</v>
      </c>
      <c r="N161" s="27"/>
      <c r="O161" s="27"/>
      <c r="P161" s="28">
        <v>42</v>
      </c>
      <c r="Q161" s="28">
        <v>38.25</v>
      </c>
      <c r="R161" s="28">
        <v>20.943333333333335</v>
      </c>
      <c r="S161" s="27">
        <v>80</v>
      </c>
      <c r="T161" s="29">
        <v>340</v>
      </c>
      <c r="U161" s="27">
        <v>250</v>
      </c>
      <c r="V161" s="27">
        <v>13</v>
      </c>
      <c r="W161" s="27">
        <v>88</v>
      </c>
      <c r="X161" s="29">
        <v>200</v>
      </c>
      <c r="Y161" s="27" t="s">
        <v>108</v>
      </c>
      <c r="Z161" s="27" t="s">
        <v>108</v>
      </c>
      <c r="AA161" s="29">
        <v>5</v>
      </c>
      <c r="AB161" s="29">
        <v>8</v>
      </c>
      <c r="AC161" s="29" t="s">
        <v>386</v>
      </c>
      <c r="AD161" s="29" t="s">
        <v>386</v>
      </c>
      <c r="AE161" s="29" t="s">
        <v>386</v>
      </c>
      <c r="AF161" s="29" t="s">
        <v>386</v>
      </c>
      <c r="AG161" s="27">
        <v>13</v>
      </c>
      <c r="AH161" s="27">
        <v>0</v>
      </c>
      <c r="AI161" s="27">
        <v>0</v>
      </c>
      <c r="AJ161" s="23" t="s">
        <v>59</v>
      </c>
      <c r="AK161" s="23" t="s">
        <v>63</v>
      </c>
      <c r="AL161" s="30" t="s">
        <v>64</v>
      </c>
      <c r="AM161" s="23"/>
      <c r="AN161" s="31" t="s">
        <v>220</v>
      </c>
      <c r="AO161" s="23" t="s">
        <v>66</v>
      </c>
      <c r="AP161" s="23" t="s">
        <v>71</v>
      </c>
      <c r="AQ161" s="34">
        <v>6510.06</v>
      </c>
      <c r="AR161" s="23" t="s">
        <v>188</v>
      </c>
      <c r="AS161" s="23">
        <v>65</v>
      </c>
      <c r="AT161" s="23">
        <v>10</v>
      </c>
      <c r="AU161" s="23">
        <v>6</v>
      </c>
    </row>
    <row r="162" spans="1:47">
      <c r="A162" s="26" t="s">
        <v>75</v>
      </c>
      <c r="B162" s="23" t="s">
        <v>55</v>
      </c>
      <c r="C162" s="23">
        <v>3</v>
      </c>
      <c r="D162" s="23"/>
      <c r="E162" s="23" t="s">
        <v>76</v>
      </c>
      <c r="F162" s="23" t="s">
        <v>23</v>
      </c>
      <c r="G162" s="27">
        <v>2018</v>
      </c>
      <c r="H162" s="27">
        <v>20</v>
      </c>
      <c r="I162" s="27">
        <v>25</v>
      </c>
      <c r="J162" s="27">
        <v>20</v>
      </c>
      <c r="K162" s="27">
        <v>14</v>
      </c>
      <c r="L162" s="27">
        <v>14</v>
      </c>
      <c r="M162" s="27">
        <v>14</v>
      </c>
      <c r="N162" s="27"/>
      <c r="O162" s="27"/>
      <c r="P162" s="28">
        <v>42</v>
      </c>
      <c r="Q162" s="28">
        <v>38.25</v>
      </c>
      <c r="R162" s="28">
        <v>20.943333333333335</v>
      </c>
      <c r="S162" s="27">
        <v>80</v>
      </c>
      <c r="T162" s="29">
        <v>340</v>
      </c>
      <c r="U162" s="27">
        <v>250</v>
      </c>
      <c r="V162" s="27">
        <v>13</v>
      </c>
      <c r="W162" s="27">
        <v>88</v>
      </c>
      <c r="X162" s="29">
        <v>200</v>
      </c>
      <c r="Y162" s="27" t="s">
        <v>109</v>
      </c>
      <c r="Z162" s="27" t="s">
        <v>109</v>
      </c>
      <c r="AA162" s="29">
        <v>5</v>
      </c>
      <c r="AB162" s="29">
        <v>8</v>
      </c>
      <c r="AC162" s="29" t="s">
        <v>386</v>
      </c>
      <c r="AD162" s="29" t="s">
        <v>386</v>
      </c>
      <c r="AE162" s="29" t="s">
        <v>386</v>
      </c>
      <c r="AF162" s="29" t="s">
        <v>386</v>
      </c>
      <c r="AG162" s="27">
        <v>13</v>
      </c>
      <c r="AH162" s="27">
        <v>0</v>
      </c>
      <c r="AI162" s="27">
        <v>0</v>
      </c>
      <c r="AJ162" s="23" t="s">
        <v>59</v>
      </c>
      <c r="AK162" s="23" t="s">
        <v>63</v>
      </c>
      <c r="AL162" s="30" t="s">
        <v>64</v>
      </c>
      <c r="AM162" s="23"/>
      <c r="AN162" s="31" t="s">
        <v>220</v>
      </c>
      <c r="AO162" s="23" t="s">
        <v>66</v>
      </c>
      <c r="AP162" s="23" t="s">
        <v>71</v>
      </c>
      <c r="AQ162" s="34">
        <v>6510.07</v>
      </c>
      <c r="AR162" s="23" t="s">
        <v>188</v>
      </c>
      <c r="AS162" s="23">
        <v>65</v>
      </c>
      <c r="AT162" s="23">
        <v>10</v>
      </c>
      <c r="AU162" s="23">
        <v>7</v>
      </c>
    </row>
    <row r="163" spans="1:47">
      <c r="A163" s="26" t="s">
        <v>75</v>
      </c>
      <c r="B163" s="23" t="s">
        <v>55</v>
      </c>
      <c r="C163" s="23">
        <v>3</v>
      </c>
      <c r="D163" s="23"/>
      <c r="E163" s="23" t="s">
        <v>76</v>
      </c>
      <c r="F163" s="23" t="s">
        <v>23</v>
      </c>
      <c r="G163" s="27">
        <v>2018</v>
      </c>
      <c r="H163" s="27">
        <v>20</v>
      </c>
      <c r="I163" s="27">
        <v>25</v>
      </c>
      <c r="J163" s="27">
        <v>20</v>
      </c>
      <c r="K163" s="27">
        <v>14</v>
      </c>
      <c r="L163" s="27">
        <v>14</v>
      </c>
      <c r="M163" s="27">
        <v>14</v>
      </c>
      <c r="N163" s="27"/>
      <c r="O163" s="27"/>
      <c r="P163" s="28">
        <v>42</v>
      </c>
      <c r="Q163" s="28">
        <v>38.25</v>
      </c>
      <c r="R163" s="28">
        <v>20.943333333333335</v>
      </c>
      <c r="S163" s="27">
        <v>80</v>
      </c>
      <c r="T163" s="29">
        <v>340</v>
      </c>
      <c r="U163" s="27">
        <v>250</v>
      </c>
      <c r="V163" s="27">
        <v>13</v>
      </c>
      <c r="W163" s="27">
        <v>88</v>
      </c>
      <c r="X163" s="29">
        <v>200</v>
      </c>
      <c r="Y163" s="27" t="s">
        <v>110</v>
      </c>
      <c r="Z163" s="27" t="s">
        <v>110</v>
      </c>
      <c r="AA163" s="29">
        <v>5</v>
      </c>
      <c r="AB163" s="29">
        <v>8</v>
      </c>
      <c r="AC163" s="29" t="s">
        <v>386</v>
      </c>
      <c r="AD163" s="29" t="s">
        <v>386</v>
      </c>
      <c r="AE163" s="29" t="s">
        <v>386</v>
      </c>
      <c r="AF163" s="29" t="s">
        <v>386</v>
      </c>
      <c r="AG163" s="27">
        <v>13</v>
      </c>
      <c r="AH163" s="27">
        <v>0</v>
      </c>
      <c r="AI163" s="27">
        <v>0</v>
      </c>
      <c r="AJ163" s="23" t="s">
        <v>59</v>
      </c>
      <c r="AK163" s="23" t="s">
        <v>63</v>
      </c>
      <c r="AL163" s="30" t="s">
        <v>64</v>
      </c>
      <c r="AM163" s="23"/>
      <c r="AN163" s="31" t="s">
        <v>220</v>
      </c>
      <c r="AO163" s="23" t="s">
        <v>66</v>
      </c>
      <c r="AP163" s="23" t="s">
        <v>71</v>
      </c>
      <c r="AQ163" s="34">
        <v>6510.08</v>
      </c>
      <c r="AR163" s="23" t="s">
        <v>188</v>
      </c>
      <c r="AS163" s="23">
        <v>65</v>
      </c>
      <c r="AT163" s="23">
        <v>10</v>
      </c>
      <c r="AU163" s="23">
        <v>8</v>
      </c>
    </row>
    <row r="164" spans="1:47">
      <c r="A164" s="26" t="s">
        <v>75</v>
      </c>
      <c r="B164" s="23" t="s">
        <v>55</v>
      </c>
      <c r="C164" s="23">
        <v>3</v>
      </c>
      <c r="D164" s="23"/>
      <c r="E164" s="23" t="s">
        <v>76</v>
      </c>
      <c r="F164" s="23" t="s">
        <v>23</v>
      </c>
      <c r="G164" s="27">
        <v>2018</v>
      </c>
      <c r="H164" s="27">
        <v>20</v>
      </c>
      <c r="I164" s="27">
        <v>25</v>
      </c>
      <c r="J164" s="27">
        <v>20</v>
      </c>
      <c r="K164" s="27">
        <v>14</v>
      </c>
      <c r="L164" s="27">
        <v>14</v>
      </c>
      <c r="M164" s="27">
        <v>14</v>
      </c>
      <c r="N164" s="27"/>
      <c r="O164" s="27"/>
      <c r="P164" s="28">
        <v>42</v>
      </c>
      <c r="Q164" s="28">
        <v>38.25</v>
      </c>
      <c r="R164" s="28">
        <v>20.943333333333335</v>
      </c>
      <c r="S164" s="27">
        <v>80</v>
      </c>
      <c r="T164" s="29">
        <v>340</v>
      </c>
      <c r="U164" s="27">
        <v>250</v>
      </c>
      <c r="V164" s="27">
        <v>13</v>
      </c>
      <c r="W164" s="27">
        <v>88</v>
      </c>
      <c r="X164" s="29">
        <v>200</v>
      </c>
      <c r="Y164" s="27" t="s">
        <v>111</v>
      </c>
      <c r="Z164" s="27" t="s">
        <v>111</v>
      </c>
      <c r="AA164" s="29">
        <v>5</v>
      </c>
      <c r="AB164" s="29">
        <v>8</v>
      </c>
      <c r="AC164" s="29" t="s">
        <v>386</v>
      </c>
      <c r="AD164" s="29" t="s">
        <v>386</v>
      </c>
      <c r="AE164" s="29" t="s">
        <v>386</v>
      </c>
      <c r="AF164" s="29" t="s">
        <v>386</v>
      </c>
      <c r="AG164" s="27">
        <v>13</v>
      </c>
      <c r="AH164" s="27">
        <v>0</v>
      </c>
      <c r="AI164" s="27">
        <v>0</v>
      </c>
      <c r="AJ164" s="23" t="s">
        <v>59</v>
      </c>
      <c r="AK164" s="23" t="s">
        <v>63</v>
      </c>
      <c r="AL164" s="30" t="s">
        <v>64</v>
      </c>
      <c r="AM164" s="23"/>
      <c r="AN164" s="31" t="s">
        <v>220</v>
      </c>
      <c r="AO164" s="23" t="s">
        <v>66</v>
      </c>
      <c r="AP164" s="23" t="s">
        <v>71</v>
      </c>
      <c r="AQ164" s="34">
        <v>6510.09</v>
      </c>
      <c r="AR164" s="23" t="s">
        <v>188</v>
      </c>
      <c r="AS164" s="23">
        <v>65</v>
      </c>
      <c r="AT164" s="23">
        <v>10</v>
      </c>
      <c r="AU164" s="23">
        <v>9</v>
      </c>
    </row>
    <row r="165" spans="1:47">
      <c r="A165" s="26" t="s">
        <v>75</v>
      </c>
      <c r="B165" s="23" t="s">
        <v>55</v>
      </c>
      <c r="C165" s="23">
        <v>3</v>
      </c>
      <c r="D165" s="23"/>
      <c r="E165" s="23" t="s">
        <v>76</v>
      </c>
      <c r="F165" s="23" t="s">
        <v>23</v>
      </c>
      <c r="G165" s="27">
        <v>2018</v>
      </c>
      <c r="H165" s="27">
        <v>20</v>
      </c>
      <c r="I165" s="27">
        <v>25</v>
      </c>
      <c r="J165" s="27">
        <v>20</v>
      </c>
      <c r="K165" s="27">
        <v>14</v>
      </c>
      <c r="L165" s="27">
        <v>14</v>
      </c>
      <c r="M165" s="27">
        <v>14</v>
      </c>
      <c r="N165" s="27"/>
      <c r="O165" s="27"/>
      <c r="P165" s="28">
        <v>42</v>
      </c>
      <c r="Q165" s="28">
        <v>38.25</v>
      </c>
      <c r="R165" s="28">
        <v>20.943333333333335</v>
      </c>
      <c r="S165" s="27">
        <v>80</v>
      </c>
      <c r="T165" s="29">
        <v>340</v>
      </c>
      <c r="U165" s="27">
        <v>250</v>
      </c>
      <c r="V165" s="27">
        <v>13</v>
      </c>
      <c r="W165" s="27">
        <v>88</v>
      </c>
      <c r="X165" s="29">
        <v>200</v>
      </c>
      <c r="Y165" s="27" t="s">
        <v>117</v>
      </c>
      <c r="Z165" s="27" t="s">
        <v>117</v>
      </c>
      <c r="AA165" s="29">
        <v>5</v>
      </c>
      <c r="AB165" s="29">
        <v>8</v>
      </c>
      <c r="AC165" s="29" t="s">
        <v>386</v>
      </c>
      <c r="AD165" s="29" t="s">
        <v>386</v>
      </c>
      <c r="AE165" s="29" t="s">
        <v>386</v>
      </c>
      <c r="AF165" s="29" t="s">
        <v>386</v>
      </c>
      <c r="AG165" s="27">
        <v>13</v>
      </c>
      <c r="AH165" s="27">
        <v>0</v>
      </c>
      <c r="AI165" s="27">
        <v>0</v>
      </c>
      <c r="AJ165" s="23" t="s">
        <v>59</v>
      </c>
      <c r="AK165" s="23" t="s">
        <v>63</v>
      </c>
      <c r="AL165" s="30" t="s">
        <v>64</v>
      </c>
      <c r="AM165" s="23"/>
      <c r="AN165" s="31" t="s">
        <v>220</v>
      </c>
      <c r="AO165" s="23" t="s">
        <v>66</v>
      </c>
      <c r="AP165" s="23" t="s">
        <v>71</v>
      </c>
      <c r="AQ165" s="34">
        <v>6510.1</v>
      </c>
      <c r="AR165" s="23" t="s">
        <v>188</v>
      </c>
      <c r="AS165" s="23">
        <v>65</v>
      </c>
      <c r="AT165" s="23">
        <v>10</v>
      </c>
      <c r="AU165" s="23">
        <v>10</v>
      </c>
    </row>
    <row r="166" spans="1:47">
      <c r="A166" s="26" t="s">
        <v>75</v>
      </c>
      <c r="B166" s="23" t="s">
        <v>55</v>
      </c>
      <c r="C166" s="23">
        <v>3</v>
      </c>
      <c r="D166" s="23"/>
      <c r="E166" s="23" t="s">
        <v>76</v>
      </c>
      <c r="F166" s="23" t="s">
        <v>23</v>
      </c>
      <c r="G166" s="27">
        <v>2018</v>
      </c>
      <c r="H166" s="27">
        <v>20</v>
      </c>
      <c r="I166" s="27">
        <v>25</v>
      </c>
      <c r="J166" s="27">
        <v>20</v>
      </c>
      <c r="K166" s="27">
        <v>14</v>
      </c>
      <c r="L166" s="27">
        <v>14</v>
      </c>
      <c r="M166" s="27">
        <v>14</v>
      </c>
      <c r="N166" s="27"/>
      <c r="O166" s="27"/>
      <c r="P166" s="28">
        <v>42</v>
      </c>
      <c r="Q166" s="28">
        <v>38.25</v>
      </c>
      <c r="R166" s="28">
        <v>20.943333333333335</v>
      </c>
      <c r="S166" s="27">
        <v>80</v>
      </c>
      <c r="T166" s="29">
        <v>340</v>
      </c>
      <c r="U166" s="27">
        <v>250</v>
      </c>
      <c r="V166" s="27">
        <v>13</v>
      </c>
      <c r="W166" s="27">
        <v>88</v>
      </c>
      <c r="X166" s="29">
        <v>200</v>
      </c>
      <c r="Y166" s="27" t="s">
        <v>112</v>
      </c>
      <c r="Z166" s="27" t="s">
        <v>112</v>
      </c>
      <c r="AA166" s="29">
        <v>5</v>
      </c>
      <c r="AB166" s="29">
        <v>8</v>
      </c>
      <c r="AC166" s="29" t="s">
        <v>386</v>
      </c>
      <c r="AD166" s="29" t="s">
        <v>386</v>
      </c>
      <c r="AE166" s="29" t="s">
        <v>386</v>
      </c>
      <c r="AF166" s="29" t="s">
        <v>386</v>
      </c>
      <c r="AG166" s="27">
        <v>13</v>
      </c>
      <c r="AH166" s="27">
        <v>0</v>
      </c>
      <c r="AI166" s="27">
        <v>0</v>
      </c>
      <c r="AJ166" s="23" t="s">
        <v>59</v>
      </c>
      <c r="AK166" s="23" t="s">
        <v>63</v>
      </c>
      <c r="AL166" s="30" t="s">
        <v>64</v>
      </c>
      <c r="AM166" s="23"/>
      <c r="AN166" s="31" t="s">
        <v>220</v>
      </c>
      <c r="AO166" s="23" t="s">
        <v>66</v>
      </c>
      <c r="AP166" s="23" t="s">
        <v>71</v>
      </c>
      <c r="AQ166" s="34">
        <v>6510.11</v>
      </c>
      <c r="AR166" s="23" t="s">
        <v>188</v>
      </c>
      <c r="AS166" s="23">
        <v>65</v>
      </c>
      <c r="AT166" s="23">
        <v>10</v>
      </c>
      <c r="AU166" s="23">
        <v>11</v>
      </c>
    </row>
    <row r="167" spans="1:47">
      <c r="A167" s="26" t="s">
        <v>62</v>
      </c>
      <c r="B167" s="23" t="s">
        <v>55</v>
      </c>
      <c r="C167" s="23">
        <v>2</v>
      </c>
      <c r="D167" s="23"/>
      <c r="E167" s="23" t="s">
        <v>60</v>
      </c>
      <c r="F167" s="23" t="s">
        <v>5</v>
      </c>
      <c r="G167" s="27">
        <v>2012</v>
      </c>
      <c r="H167" s="27">
        <v>20</v>
      </c>
      <c r="I167" s="27">
        <v>25</v>
      </c>
      <c r="J167" s="27">
        <v>20</v>
      </c>
      <c r="K167" s="27">
        <v>14</v>
      </c>
      <c r="L167" s="27">
        <v>14</v>
      </c>
      <c r="M167" s="27"/>
      <c r="N167" s="27"/>
      <c r="O167" s="27"/>
      <c r="P167" s="28">
        <v>28</v>
      </c>
      <c r="Q167" s="28">
        <v>25.68</v>
      </c>
      <c r="R167" s="28">
        <v>39.266666666666666</v>
      </c>
      <c r="S167" s="27">
        <v>80</v>
      </c>
      <c r="T167" s="29">
        <v>353.6</v>
      </c>
      <c r="U167" s="27">
        <v>260</v>
      </c>
      <c r="V167" s="27">
        <v>12</v>
      </c>
      <c r="W167" s="27">
        <v>106</v>
      </c>
      <c r="X167" s="29">
        <v>200</v>
      </c>
      <c r="Y167" s="27" t="s">
        <v>69</v>
      </c>
      <c r="Z167" s="27" t="s">
        <v>69</v>
      </c>
      <c r="AA167" s="29">
        <v>5</v>
      </c>
      <c r="AB167" s="29">
        <v>8</v>
      </c>
      <c r="AC167" s="29" t="s">
        <v>386</v>
      </c>
      <c r="AD167" s="29" t="s">
        <v>386</v>
      </c>
      <c r="AE167" s="29" t="s">
        <v>386</v>
      </c>
      <c r="AF167" s="29" t="s">
        <v>386</v>
      </c>
      <c r="AG167" s="27">
        <v>13</v>
      </c>
      <c r="AH167" s="27">
        <v>0</v>
      </c>
      <c r="AI167" s="27">
        <v>0</v>
      </c>
      <c r="AJ167" s="23" t="s">
        <v>59</v>
      </c>
      <c r="AK167" s="23" t="s">
        <v>63</v>
      </c>
      <c r="AL167" s="30" t="s">
        <v>64</v>
      </c>
      <c r="AM167" s="23"/>
      <c r="AN167" s="31" t="s">
        <v>219</v>
      </c>
      <c r="AO167" s="23" t="s">
        <v>66</v>
      </c>
      <c r="AP167" s="23" t="s">
        <v>71</v>
      </c>
      <c r="AQ167" s="34">
        <v>6511</v>
      </c>
      <c r="AR167" s="23" t="s">
        <v>78</v>
      </c>
      <c r="AS167" s="23">
        <v>65</v>
      </c>
      <c r="AT167" s="23">
        <v>11</v>
      </c>
      <c r="AU167" s="23">
        <v>0</v>
      </c>
    </row>
    <row r="168" spans="1:47">
      <c r="A168" s="26" t="s">
        <v>62</v>
      </c>
      <c r="B168" s="23" t="s">
        <v>55</v>
      </c>
      <c r="C168" s="23">
        <v>2</v>
      </c>
      <c r="D168" s="23"/>
      <c r="E168" s="23" t="s">
        <v>60</v>
      </c>
      <c r="F168" s="23" t="s">
        <v>5</v>
      </c>
      <c r="G168" s="27">
        <v>2012</v>
      </c>
      <c r="H168" s="27">
        <v>20</v>
      </c>
      <c r="I168" s="27">
        <v>25</v>
      </c>
      <c r="J168" s="27">
        <v>20</v>
      </c>
      <c r="K168" s="27">
        <v>14</v>
      </c>
      <c r="L168" s="27">
        <v>14</v>
      </c>
      <c r="M168" s="27"/>
      <c r="N168" s="27"/>
      <c r="O168" s="27"/>
      <c r="P168" s="28">
        <v>28</v>
      </c>
      <c r="Q168" s="28">
        <v>25.68</v>
      </c>
      <c r="R168" s="28">
        <v>39.266666666666666</v>
      </c>
      <c r="S168" s="27">
        <v>80</v>
      </c>
      <c r="T168" s="29">
        <v>353.6</v>
      </c>
      <c r="U168" s="27">
        <v>260</v>
      </c>
      <c r="V168" s="27">
        <v>12</v>
      </c>
      <c r="W168" s="27">
        <v>106</v>
      </c>
      <c r="X168" s="29">
        <v>200</v>
      </c>
      <c r="Y168" s="27" t="s">
        <v>102</v>
      </c>
      <c r="Z168" s="27" t="s">
        <v>102</v>
      </c>
      <c r="AA168" s="29">
        <v>5</v>
      </c>
      <c r="AB168" s="29">
        <v>8</v>
      </c>
      <c r="AC168" s="29" t="s">
        <v>386</v>
      </c>
      <c r="AD168" s="29" t="s">
        <v>386</v>
      </c>
      <c r="AE168" s="29" t="s">
        <v>386</v>
      </c>
      <c r="AF168" s="29" t="s">
        <v>386</v>
      </c>
      <c r="AG168" s="27">
        <v>13</v>
      </c>
      <c r="AH168" s="27">
        <v>0</v>
      </c>
      <c r="AI168" s="27">
        <v>0</v>
      </c>
      <c r="AJ168" s="23" t="s">
        <v>59</v>
      </c>
      <c r="AK168" s="23" t="s">
        <v>63</v>
      </c>
      <c r="AL168" s="30" t="s">
        <v>64</v>
      </c>
      <c r="AM168" s="23"/>
      <c r="AN168" s="31" t="s">
        <v>219</v>
      </c>
      <c r="AO168" s="23" t="s">
        <v>66</v>
      </c>
      <c r="AP168" s="23" t="s">
        <v>71</v>
      </c>
      <c r="AQ168" s="34">
        <v>6511.01</v>
      </c>
      <c r="AR168" s="23" t="s">
        <v>78</v>
      </c>
      <c r="AS168" s="23">
        <v>65</v>
      </c>
      <c r="AT168" s="23">
        <v>11</v>
      </c>
      <c r="AU168" s="23">
        <v>1</v>
      </c>
    </row>
    <row r="169" spans="1:47">
      <c r="A169" s="26" t="s">
        <v>62</v>
      </c>
      <c r="B169" s="23" t="s">
        <v>55</v>
      </c>
      <c r="C169" s="23">
        <v>2</v>
      </c>
      <c r="D169" s="23"/>
      <c r="E169" s="23" t="s">
        <v>60</v>
      </c>
      <c r="F169" s="23" t="s">
        <v>5</v>
      </c>
      <c r="G169" s="27">
        <v>2012</v>
      </c>
      <c r="H169" s="27">
        <v>20</v>
      </c>
      <c r="I169" s="27">
        <v>25</v>
      </c>
      <c r="J169" s="27">
        <v>20</v>
      </c>
      <c r="K169" s="27">
        <v>14</v>
      </c>
      <c r="L169" s="27">
        <v>14</v>
      </c>
      <c r="M169" s="27"/>
      <c r="N169" s="27"/>
      <c r="O169" s="27"/>
      <c r="P169" s="28">
        <v>28</v>
      </c>
      <c r="Q169" s="28">
        <v>25.68</v>
      </c>
      <c r="R169" s="28">
        <v>39.266666666666666</v>
      </c>
      <c r="S169" s="27">
        <v>80</v>
      </c>
      <c r="T169" s="29">
        <v>353.6</v>
      </c>
      <c r="U169" s="27">
        <v>260</v>
      </c>
      <c r="V169" s="27">
        <v>12</v>
      </c>
      <c r="W169" s="27">
        <v>106</v>
      </c>
      <c r="X169" s="29">
        <v>200</v>
      </c>
      <c r="Y169" s="27" t="s">
        <v>105</v>
      </c>
      <c r="Z169" s="27" t="s">
        <v>105</v>
      </c>
      <c r="AA169" s="29">
        <v>5</v>
      </c>
      <c r="AB169" s="29">
        <v>8</v>
      </c>
      <c r="AC169" s="29" t="s">
        <v>386</v>
      </c>
      <c r="AD169" s="29" t="s">
        <v>386</v>
      </c>
      <c r="AE169" s="29" t="s">
        <v>386</v>
      </c>
      <c r="AF169" s="29" t="s">
        <v>386</v>
      </c>
      <c r="AG169" s="27">
        <v>13</v>
      </c>
      <c r="AH169" s="27">
        <v>0</v>
      </c>
      <c r="AI169" s="27">
        <v>0</v>
      </c>
      <c r="AJ169" s="23" t="s">
        <v>59</v>
      </c>
      <c r="AK169" s="23" t="s">
        <v>63</v>
      </c>
      <c r="AL169" s="30" t="s">
        <v>64</v>
      </c>
      <c r="AM169" s="23"/>
      <c r="AN169" s="31" t="s">
        <v>219</v>
      </c>
      <c r="AO169" s="23" t="s">
        <v>66</v>
      </c>
      <c r="AP169" s="23" t="s">
        <v>71</v>
      </c>
      <c r="AQ169" s="34">
        <v>6511.02</v>
      </c>
      <c r="AR169" s="23" t="s">
        <v>188</v>
      </c>
      <c r="AS169" s="23">
        <v>65</v>
      </c>
      <c r="AT169" s="23">
        <v>11</v>
      </c>
      <c r="AU169" s="23">
        <v>2</v>
      </c>
    </row>
    <row r="170" spans="1:47">
      <c r="A170" s="26" t="s">
        <v>62</v>
      </c>
      <c r="B170" s="23" t="s">
        <v>55</v>
      </c>
      <c r="C170" s="23">
        <v>2</v>
      </c>
      <c r="D170" s="23"/>
      <c r="E170" s="23" t="s">
        <v>61</v>
      </c>
      <c r="F170" s="23" t="s">
        <v>100</v>
      </c>
      <c r="G170" s="27">
        <v>2014</v>
      </c>
      <c r="H170" s="27">
        <v>20</v>
      </c>
      <c r="I170" s="27">
        <v>25</v>
      </c>
      <c r="J170" s="27">
        <v>20</v>
      </c>
      <c r="K170" s="27">
        <v>14</v>
      </c>
      <c r="L170" s="27">
        <v>14</v>
      </c>
      <c r="M170" s="27"/>
      <c r="N170" s="27"/>
      <c r="O170" s="27"/>
      <c r="P170" s="28">
        <v>28</v>
      </c>
      <c r="Q170" s="28">
        <v>27.751999999999999</v>
      </c>
      <c r="R170" s="28">
        <v>27.541333333333338</v>
      </c>
      <c r="S170" s="27">
        <v>80</v>
      </c>
      <c r="T170" s="29">
        <v>299.20000000000005</v>
      </c>
      <c r="U170" s="27">
        <v>220</v>
      </c>
      <c r="V170" s="27">
        <v>13</v>
      </c>
      <c r="W170" s="27">
        <v>106</v>
      </c>
      <c r="X170" s="29">
        <v>200</v>
      </c>
      <c r="Y170" s="27" t="s">
        <v>69</v>
      </c>
      <c r="Z170" s="27" t="s">
        <v>69</v>
      </c>
      <c r="AA170" s="29">
        <v>5</v>
      </c>
      <c r="AB170" s="29">
        <v>8</v>
      </c>
      <c r="AC170" s="29" t="s">
        <v>386</v>
      </c>
      <c r="AD170" s="29" t="s">
        <v>386</v>
      </c>
      <c r="AE170" s="29" t="s">
        <v>386</v>
      </c>
      <c r="AF170" s="29" t="s">
        <v>386</v>
      </c>
      <c r="AG170" s="27">
        <v>13</v>
      </c>
      <c r="AH170" s="27">
        <v>0</v>
      </c>
      <c r="AI170" s="27">
        <v>0</v>
      </c>
      <c r="AJ170" s="23" t="s">
        <v>59</v>
      </c>
      <c r="AK170" s="23" t="s">
        <v>63</v>
      </c>
      <c r="AL170" s="30" t="s">
        <v>64</v>
      </c>
      <c r="AM170" s="23"/>
      <c r="AN170" s="31" t="s">
        <v>219</v>
      </c>
      <c r="AO170" s="23" t="s">
        <v>66</v>
      </c>
      <c r="AP170" s="23" t="s">
        <v>71</v>
      </c>
      <c r="AQ170" s="34">
        <v>6512</v>
      </c>
      <c r="AR170" s="23" t="s">
        <v>78</v>
      </c>
      <c r="AS170" s="23">
        <v>65</v>
      </c>
      <c r="AT170" s="23">
        <v>12</v>
      </c>
      <c r="AU170" s="23">
        <v>0</v>
      </c>
    </row>
    <row r="171" spans="1:47">
      <c r="A171" s="26" t="s">
        <v>62</v>
      </c>
      <c r="B171" s="23" t="s">
        <v>55</v>
      </c>
      <c r="C171" s="23">
        <v>2</v>
      </c>
      <c r="D171" s="23"/>
      <c r="E171" s="23" t="s">
        <v>61</v>
      </c>
      <c r="F171" s="23" t="s">
        <v>100</v>
      </c>
      <c r="G171" s="27">
        <v>2014</v>
      </c>
      <c r="H171" s="27">
        <v>20</v>
      </c>
      <c r="I171" s="27">
        <v>25</v>
      </c>
      <c r="J171" s="27">
        <v>20</v>
      </c>
      <c r="K171" s="27">
        <v>14</v>
      </c>
      <c r="L171" s="27">
        <v>14</v>
      </c>
      <c r="M171" s="27"/>
      <c r="N171" s="27"/>
      <c r="O171" s="27"/>
      <c r="P171" s="28">
        <v>28</v>
      </c>
      <c r="Q171" s="28">
        <v>27.751999999999999</v>
      </c>
      <c r="R171" s="28">
        <v>27.541333333333338</v>
      </c>
      <c r="S171" s="27">
        <v>80</v>
      </c>
      <c r="T171" s="29">
        <v>299.20000000000005</v>
      </c>
      <c r="U171" s="27">
        <v>220</v>
      </c>
      <c r="V171" s="27">
        <v>13</v>
      </c>
      <c r="W171" s="27">
        <v>106</v>
      </c>
      <c r="X171" s="29">
        <v>200</v>
      </c>
      <c r="Y171" s="27" t="s">
        <v>102</v>
      </c>
      <c r="Z171" s="27" t="s">
        <v>102</v>
      </c>
      <c r="AA171" s="29">
        <v>5</v>
      </c>
      <c r="AB171" s="29">
        <v>8</v>
      </c>
      <c r="AC171" s="29" t="s">
        <v>386</v>
      </c>
      <c r="AD171" s="29" t="s">
        <v>386</v>
      </c>
      <c r="AE171" s="29" t="s">
        <v>386</v>
      </c>
      <c r="AF171" s="29" t="s">
        <v>386</v>
      </c>
      <c r="AG171" s="27">
        <v>13</v>
      </c>
      <c r="AH171" s="27">
        <v>0</v>
      </c>
      <c r="AI171" s="27">
        <v>0</v>
      </c>
      <c r="AJ171" s="23" t="s">
        <v>59</v>
      </c>
      <c r="AK171" s="23" t="s">
        <v>63</v>
      </c>
      <c r="AL171" s="30" t="s">
        <v>64</v>
      </c>
      <c r="AM171" s="23"/>
      <c r="AN171" s="31" t="s">
        <v>219</v>
      </c>
      <c r="AO171" s="23" t="s">
        <v>66</v>
      </c>
      <c r="AP171" s="23" t="s">
        <v>71</v>
      </c>
      <c r="AQ171" s="34">
        <v>6512.01</v>
      </c>
      <c r="AR171" s="23" t="s">
        <v>78</v>
      </c>
      <c r="AS171" s="23">
        <v>65</v>
      </c>
      <c r="AT171" s="23">
        <v>12</v>
      </c>
      <c r="AU171" s="23">
        <v>1</v>
      </c>
    </row>
    <row r="172" spans="1:47">
      <c r="A172" s="26" t="s">
        <v>75</v>
      </c>
      <c r="B172" s="23" t="s">
        <v>55</v>
      </c>
      <c r="C172" s="23">
        <v>2</v>
      </c>
      <c r="D172" s="23"/>
      <c r="E172" s="23" t="s">
        <v>76</v>
      </c>
      <c r="F172" s="23" t="s">
        <v>24</v>
      </c>
      <c r="G172" s="27">
        <v>2018</v>
      </c>
      <c r="H172" s="27">
        <v>20</v>
      </c>
      <c r="I172" s="27">
        <v>25</v>
      </c>
      <c r="J172" s="27">
        <v>20</v>
      </c>
      <c r="K172" s="27">
        <v>14</v>
      </c>
      <c r="L172" s="27">
        <v>14</v>
      </c>
      <c r="M172" s="27"/>
      <c r="N172" s="27"/>
      <c r="O172" s="27"/>
      <c r="P172" s="28">
        <v>28</v>
      </c>
      <c r="Q172" s="28">
        <v>37.25</v>
      </c>
      <c r="R172" s="28">
        <v>19.943333333333335</v>
      </c>
      <c r="S172" s="27">
        <v>80</v>
      </c>
      <c r="T172" s="29">
        <v>340</v>
      </c>
      <c r="U172" s="27">
        <v>250</v>
      </c>
      <c r="V172" s="27">
        <v>13</v>
      </c>
      <c r="W172" s="27">
        <v>88</v>
      </c>
      <c r="X172" s="29">
        <v>200</v>
      </c>
      <c r="Y172" s="27" t="s">
        <v>69</v>
      </c>
      <c r="Z172" s="27" t="s">
        <v>69</v>
      </c>
      <c r="AA172" s="29">
        <v>5</v>
      </c>
      <c r="AB172" s="29">
        <v>8</v>
      </c>
      <c r="AC172" s="29" t="s">
        <v>386</v>
      </c>
      <c r="AD172" s="29" t="s">
        <v>386</v>
      </c>
      <c r="AE172" s="29" t="s">
        <v>386</v>
      </c>
      <c r="AF172" s="29" t="s">
        <v>386</v>
      </c>
      <c r="AG172" s="27">
        <v>13</v>
      </c>
      <c r="AH172" s="27">
        <v>0</v>
      </c>
      <c r="AI172" s="27">
        <v>0</v>
      </c>
      <c r="AJ172" s="23" t="s">
        <v>59</v>
      </c>
      <c r="AK172" s="23" t="s">
        <v>63</v>
      </c>
      <c r="AL172" s="30" t="s">
        <v>64</v>
      </c>
      <c r="AM172" s="23"/>
      <c r="AN172" s="31" t="s">
        <v>219</v>
      </c>
      <c r="AO172" s="23" t="s">
        <v>66</v>
      </c>
      <c r="AP172" s="23" t="s">
        <v>71</v>
      </c>
      <c r="AQ172" s="34">
        <v>6513</v>
      </c>
      <c r="AR172" s="23" t="s">
        <v>78</v>
      </c>
      <c r="AS172" s="23">
        <v>65</v>
      </c>
      <c r="AT172" s="23">
        <v>13</v>
      </c>
      <c r="AU172" s="23">
        <v>0</v>
      </c>
    </row>
    <row r="173" spans="1:47">
      <c r="A173" s="26" t="s">
        <v>75</v>
      </c>
      <c r="B173" s="23" t="s">
        <v>55</v>
      </c>
      <c r="C173" s="23">
        <v>2</v>
      </c>
      <c r="D173" s="23"/>
      <c r="E173" s="23" t="s">
        <v>76</v>
      </c>
      <c r="F173" s="23" t="s">
        <v>24</v>
      </c>
      <c r="G173" s="27">
        <v>2018</v>
      </c>
      <c r="H173" s="27">
        <v>20</v>
      </c>
      <c r="I173" s="27">
        <v>25</v>
      </c>
      <c r="J173" s="27">
        <v>20</v>
      </c>
      <c r="K173" s="27">
        <v>14</v>
      </c>
      <c r="L173" s="27">
        <v>14</v>
      </c>
      <c r="M173" s="27"/>
      <c r="N173" s="27"/>
      <c r="O173" s="27"/>
      <c r="P173" s="28">
        <v>28</v>
      </c>
      <c r="Q173" s="28">
        <v>37.25</v>
      </c>
      <c r="R173" s="28">
        <v>19.943333333333335</v>
      </c>
      <c r="S173" s="27">
        <v>80</v>
      </c>
      <c r="T173" s="29">
        <v>340</v>
      </c>
      <c r="U173" s="27">
        <v>250</v>
      </c>
      <c r="V173" s="27">
        <v>13</v>
      </c>
      <c r="W173" s="27">
        <v>88</v>
      </c>
      <c r="X173" s="29">
        <v>200</v>
      </c>
      <c r="Y173" s="27" t="s">
        <v>102</v>
      </c>
      <c r="Z173" s="27" t="s">
        <v>102</v>
      </c>
      <c r="AA173" s="29">
        <v>5</v>
      </c>
      <c r="AB173" s="29">
        <v>8</v>
      </c>
      <c r="AC173" s="29" t="s">
        <v>386</v>
      </c>
      <c r="AD173" s="29" t="s">
        <v>386</v>
      </c>
      <c r="AE173" s="29" t="s">
        <v>386</v>
      </c>
      <c r="AF173" s="29" t="s">
        <v>386</v>
      </c>
      <c r="AG173" s="27">
        <v>13</v>
      </c>
      <c r="AH173" s="27">
        <v>0</v>
      </c>
      <c r="AI173" s="27">
        <v>0</v>
      </c>
      <c r="AJ173" s="23" t="s">
        <v>59</v>
      </c>
      <c r="AK173" s="23" t="s">
        <v>63</v>
      </c>
      <c r="AL173" s="30" t="s">
        <v>64</v>
      </c>
      <c r="AM173" s="23"/>
      <c r="AN173" s="31" t="s">
        <v>219</v>
      </c>
      <c r="AO173" s="23" t="s">
        <v>66</v>
      </c>
      <c r="AP173" s="23" t="s">
        <v>71</v>
      </c>
      <c r="AQ173" s="34">
        <v>6513.01</v>
      </c>
      <c r="AR173" s="23" t="s">
        <v>78</v>
      </c>
      <c r="AS173" s="23">
        <v>65</v>
      </c>
      <c r="AT173" s="23">
        <v>13</v>
      </c>
      <c r="AU173" s="23">
        <v>1</v>
      </c>
    </row>
    <row r="174" spans="1:47">
      <c r="A174" s="26" t="s">
        <v>62</v>
      </c>
      <c r="B174" s="23" t="s">
        <v>77</v>
      </c>
      <c r="C174" s="23">
        <v>4</v>
      </c>
      <c r="D174" s="23"/>
      <c r="E174" s="23" t="s">
        <v>60</v>
      </c>
      <c r="F174" s="23" t="s">
        <v>11</v>
      </c>
      <c r="G174" s="27">
        <v>2012</v>
      </c>
      <c r="H174" s="27">
        <v>20</v>
      </c>
      <c r="I174" s="27">
        <v>25</v>
      </c>
      <c r="J174" s="27">
        <v>20</v>
      </c>
      <c r="K174" s="27">
        <v>14</v>
      </c>
      <c r="L174" s="27">
        <v>14</v>
      </c>
      <c r="M174" s="27">
        <v>14</v>
      </c>
      <c r="N174" s="27">
        <v>14</v>
      </c>
      <c r="O174" s="27"/>
      <c r="P174" s="28">
        <v>56</v>
      </c>
      <c r="Q174" s="28">
        <v>30.68</v>
      </c>
      <c r="R174" s="28">
        <v>42.24666666666667</v>
      </c>
      <c r="S174" s="27">
        <v>80</v>
      </c>
      <c r="T174" s="29">
        <v>353.6</v>
      </c>
      <c r="U174" s="27">
        <v>260</v>
      </c>
      <c r="V174" s="27">
        <v>18</v>
      </c>
      <c r="W174" s="27">
        <v>163</v>
      </c>
      <c r="X174" s="29">
        <v>200</v>
      </c>
      <c r="Y174" s="27" t="s">
        <v>69</v>
      </c>
      <c r="Z174" s="27" t="s">
        <v>69</v>
      </c>
      <c r="AA174" s="29">
        <v>3</v>
      </c>
      <c r="AB174" s="29">
        <v>8</v>
      </c>
      <c r="AC174" s="29">
        <v>8</v>
      </c>
      <c r="AD174" s="29" t="s">
        <v>386</v>
      </c>
      <c r="AE174" s="29" t="s">
        <v>386</v>
      </c>
      <c r="AF174" s="29" t="s">
        <v>386</v>
      </c>
      <c r="AG174" s="27">
        <v>11</v>
      </c>
      <c r="AH174" s="27">
        <v>8</v>
      </c>
      <c r="AI174" s="27">
        <v>0</v>
      </c>
      <c r="AJ174" s="23" t="s">
        <v>59</v>
      </c>
      <c r="AK174" s="23" t="s">
        <v>63</v>
      </c>
      <c r="AL174" s="30" t="s">
        <v>64</v>
      </c>
      <c r="AM174" s="23" t="s">
        <v>77</v>
      </c>
      <c r="AN174" s="31" t="s">
        <v>221</v>
      </c>
      <c r="AO174" s="23" t="s">
        <v>85</v>
      </c>
      <c r="AP174" s="23" t="s">
        <v>71</v>
      </c>
      <c r="AQ174" s="34">
        <v>6514</v>
      </c>
      <c r="AR174" s="23" t="s">
        <v>78</v>
      </c>
      <c r="AS174" s="23">
        <v>65</v>
      </c>
      <c r="AT174" s="23">
        <v>14</v>
      </c>
      <c r="AU174" s="23">
        <v>0</v>
      </c>
    </row>
    <row r="175" spans="1:47">
      <c r="A175" s="26" t="s">
        <v>62</v>
      </c>
      <c r="B175" s="23" t="s">
        <v>77</v>
      </c>
      <c r="C175" s="23">
        <v>4</v>
      </c>
      <c r="D175" s="23"/>
      <c r="E175" s="23" t="s">
        <v>60</v>
      </c>
      <c r="F175" s="23" t="s">
        <v>11</v>
      </c>
      <c r="G175" s="27">
        <v>2012</v>
      </c>
      <c r="H175" s="27">
        <v>20</v>
      </c>
      <c r="I175" s="27">
        <v>25</v>
      </c>
      <c r="J175" s="27">
        <v>20</v>
      </c>
      <c r="K175" s="27">
        <v>14</v>
      </c>
      <c r="L175" s="27">
        <v>14</v>
      </c>
      <c r="M175" s="27">
        <v>14</v>
      </c>
      <c r="N175" s="27">
        <v>14</v>
      </c>
      <c r="O175" s="27"/>
      <c r="P175" s="28">
        <v>56</v>
      </c>
      <c r="Q175" s="28">
        <v>30.68</v>
      </c>
      <c r="R175" s="28">
        <v>42.24666666666667</v>
      </c>
      <c r="S175" s="27">
        <v>80</v>
      </c>
      <c r="T175" s="29">
        <v>353.6</v>
      </c>
      <c r="U175" s="27">
        <v>260</v>
      </c>
      <c r="V175" s="27">
        <v>18</v>
      </c>
      <c r="W175" s="27">
        <v>163</v>
      </c>
      <c r="X175" s="29">
        <v>200</v>
      </c>
      <c r="Y175" s="27" t="s">
        <v>102</v>
      </c>
      <c r="Z175" s="27" t="s">
        <v>102</v>
      </c>
      <c r="AA175" s="29">
        <v>3</v>
      </c>
      <c r="AB175" s="29">
        <v>8</v>
      </c>
      <c r="AC175" s="29">
        <v>8</v>
      </c>
      <c r="AD175" s="29" t="s">
        <v>386</v>
      </c>
      <c r="AE175" s="29" t="s">
        <v>386</v>
      </c>
      <c r="AF175" s="29" t="s">
        <v>386</v>
      </c>
      <c r="AG175" s="27">
        <v>11</v>
      </c>
      <c r="AH175" s="27">
        <v>8</v>
      </c>
      <c r="AI175" s="27">
        <v>0</v>
      </c>
      <c r="AJ175" s="23" t="s">
        <v>59</v>
      </c>
      <c r="AK175" s="23" t="s">
        <v>63</v>
      </c>
      <c r="AL175" s="30" t="s">
        <v>64</v>
      </c>
      <c r="AM175" s="23" t="s">
        <v>77</v>
      </c>
      <c r="AN175" s="31" t="s">
        <v>221</v>
      </c>
      <c r="AO175" s="23" t="s">
        <v>85</v>
      </c>
      <c r="AP175" s="23" t="s">
        <v>71</v>
      </c>
      <c r="AQ175" s="34">
        <v>6514.01</v>
      </c>
      <c r="AR175" s="23" t="s">
        <v>78</v>
      </c>
      <c r="AS175" s="23">
        <v>65</v>
      </c>
      <c r="AT175" s="23">
        <v>14</v>
      </c>
      <c r="AU175" s="23">
        <v>1</v>
      </c>
    </row>
    <row r="176" spans="1:47">
      <c r="A176" s="26" t="s">
        <v>62</v>
      </c>
      <c r="B176" s="23" t="s">
        <v>77</v>
      </c>
      <c r="C176" s="23">
        <v>4</v>
      </c>
      <c r="D176" s="23"/>
      <c r="E176" s="23" t="s">
        <v>61</v>
      </c>
      <c r="F176" s="23" t="s">
        <v>12</v>
      </c>
      <c r="G176" s="27">
        <v>2014</v>
      </c>
      <c r="H176" s="27">
        <v>20</v>
      </c>
      <c r="I176" s="27">
        <v>25</v>
      </c>
      <c r="J176" s="27">
        <v>20</v>
      </c>
      <c r="K176" s="27">
        <v>14</v>
      </c>
      <c r="L176" s="27">
        <v>14</v>
      </c>
      <c r="M176" s="27">
        <v>14</v>
      </c>
      <c r="N176" s="27">
        <v>14</v>
      </c>
      <c r="O176" s="27"/>
      <c r="P176" s="28">
        <v>56</v>
      </c>
      <c r="Q176" s="28">
        <v>33.352000000000004</v>
      </c>
      <c r="R176" s="28">
        <v>30.32533333333334</v>
      </c>
      <c r="S176" s="27">
        <v>80</v>
      </c>
      <c r="T176" s="29">
        <v>299.20000000000005</v>
      </c>
      <c r="U176" s="27">
        <v>220</v>
      </c>
      <c r="V176" s="27">
        <v>19</v>
      </c>
      <c r="W176" s="27">
        <v>163</v>
      </c>
      <c r="X176" s="29">
        <v>200</v>
      </c>
      <c r="Y176" s="27" t="s">
        <v>69</v>
      </c>
      <c r="Z176" s="27" t="s">
        <v>69</v>
      </c>
      <c r="AA176" s="29">
        <v>3</v>
      </c>
      <c r="AB176" s="29">
        <v>8</v>
      </c>
      <c r="AC176" s="29">
        <v>8</v>
      </c>
      <c r="AD176" s="29" t="s">
        <v>386</v>
      </c>
      <c r="AE176" s="29" t="s">
        <v>386</v>
      </c>
      <c r="AF176" s="29" t="s">
        <v>386</v>
      </c>
      <c r="AG176" s="27">
        <v>11</v>
      </c>
      <c r="AH176" s="27">
        <v>8</v>
      </c>
      <c r="AI176" s="27">
        <v>0</v>
      </c>
      <c r="AJ176" s="23" t="s">
        <v>59</v>
      </c>
      <c r="AK176" s="23" t="s">
        <v>63</v>
      </c>
      <c r="AL176" s="30" t="s">
        <v>64</v>
      </c>
      <c r="AM176" s="23" t="s">
        <v>77</v>
      </c>
      <c r="AN176" s="31" t="s">
        <v>221</v>
      </c>
      <c r="AO176" s="23" t="s">
        <v>85</v>
      </c>
      <c r="AP176" s="23" t="s">
        <v>71</v>
      </c>
      <c r="AQ176" s="34">
        <v>6515</v>
      </c>
      <c r="AR176" s="23" t="s">
        <v>78</v>
      </c>
      <c r="AS176" s="23">
        <v>65</v>
      </c>
      <c r="AT176" s="23">
        <v>15</v>
      </c>
      <c r="AU176" s="23">
        <v>0</v>
      </c>
    </row>
    <row r="177" spans="1:47">
      <c r="A177" s="26" t="s">
        <v>62</v>
      </c>
      <c r="B177" s="23" t="s">
        <v>77</v>
      </c>
      <c r="C177" s="23">
        <v>4</v>
      </c>
      <c r="D177" s="23"/>
      <c r="E177" s="23" t="s">
        <v>61</v>
      </c>
      <c r="F177" s="23" t="s">
        <v>12</v>
      </c>
      <c r="G177" s="27">
        <v>2014</v>
      </c>
      <c r="H177" s="27">
        <v>20</v>
      </c>
      <c r="I177" s="27">
        <v>25</v>
      </c>
      <c r="J177" s="27">
        <v>20</v>
      </c>
      <c r="K177" s="27">
        <v>14</v>
      </c>
      <c r="L177" s="27">
        <v>14</v>
      </c>
      <c r="M177" s="27">
        <v>14</v>
      </c>
      <c r="N177" s="27">
        <v>14</v>
      </c>
      <c r="O177" s="27"/>
      <c r="P177" s="28">
        <v>56</v>
      </c>
      <c r="Q177" s="28">
        <v>33.352000000000004</v>
      </c>
      <c r="R177" s="28">
        <v>30.32533333333334</v>
      </c>
      <c r="S177" s="27">
        <v>80</v>
      </c>
      <c r="T177" s="29">
        <v>299.20000000000005</v>
      </c>
      <c r="U177" s="27">
        <v>220</v>
      </c>
      <c r="V177" s="27">
        <v>19</v>
      </c>
      <c r="W177" s="27">
        <v>163</v>
      </c>
      <c r="X177" s="29">
        <v>200</v>
      </c>
      <c r="Y177" s="27" t="s">
        <v>102</v>
      </c>
      <c r="Z177" s="27" t="s">
        <v>102</v>
      </c>
      <c r="AA177" s="29">
        <v>3</v>
      </c>
      <c r="AB177" s="29">
        <v>8</v>
      </c>
      <c r="AC177" s="29">
        <v>8</v>
      </c>
      <c r="AD177" s="29" t="s">
        <v>386</v>
      </c>
      <c r="AE177" s="29" t="s">
        <v>386</v>
      </c>
      <c r="AF177" s="29" t="s">
        <v>386</v>
      </c>
      <c r="AG177" s="27">
        <v>11</v>
      </c>
      <c r="AH177" s="27">
        <v>8</v>
      </c>
      <c r="AI177" s="27">
        <v>0</v>
      </c>
      <c r="AJ177" s="23" t="s">
        <v>59</v>
      </c>
      <c r="AK177" s="23" t="s">
        <v>63</v>
      </c>
      <c r="AL177" s="30" t="s">
        <v>64</v>
      </c>
      <c r="AM177" s="23" t="s">
        <v>77</v>
      </c>
      <c r="AN177" s="31" t="s">
        <v>221</v>
      </c>
      <c r="AO177" s="23" t="s">
        <v>85</v>
      </c>
      <c r="AP177" s="23" t="s">
        <v>71</v>
      </c>
      <c r="AQ177" s="34">
        <v>6515.01</v>
      </c>
      <c r="AR177" s="23" t="s">
        <v>78</v>
      </c>
      <c r="AS177" s="23">
        <v>65</v>
      </c>
      <c r="AT177" s="23">
        <v>15</v>
      </c>
      <c r="AU177" s="23">
        <v>1</v>
      </c>
    </row>
    <row r="178" spans="1:47">
      <c r="A178" s="26" t="s">
        <v>75</v>
      </c>
      <c r="B178" s="23" t="s">
        <v>77</v>
      </c>
      <c r="C178" s="23">
        <v>4</v>
      </c>
      <c r="D178" s="23"/>
      <c r="E178" s="23" t="s">
        <v>76</v>
      </c>
      <c r="F178" s="23" t="s">
        <v>25</v>
      </c>
      <c r="G178" s="27">
        <v>2020</v>
      </c>
      <c r="H178" s="27">
        <v>20</v>
      </c>
      <c r="I178" s="27">
        <v>25</v>
      </c>
      <c r="J178" s="27">
        <v>20</v>
      </c>
      <c r="K178" s="27">
        <v>14</v>
      </c>
      <c r="L178" s="27">
        <v>14</v>
      </c>
      <c r="M178" s="27">
        <v>14</v>
      </c>
      <c r="N178" s="27">
        <v>14</v>
      </c>
      <c r="O178" s="27"/>
      <c r="P178" s="28">
        <v>56</v>
      </c>
      <c r="Q178" s="28">
        <v>44.5</v>
      </c>
      <c r="R178" s="28">
        <v>22.486666666666668</v>
      </c>
      <c r="S178" s="27">
        <v>80</v>
      </c>
      <c r="T178" s="29">
        <v>340</v>
      </c>
      <c r="U178" s="27">
        <v>250</v>
      </c>
      <c r="V178" s="27">
        <v>20</v>
      </c>
      <c r="W178" s="27">
        <v>146</v>
      </c>
      <c r="X178" s="29">
        <v>200</v>
      </c>
      <c r="Y178" s="27" t="s">
        <v>69</v>
      </c>
      <c r="Z178" s="27" t="s">
        <v>69</v>
      </c>
      <c r="AA178" s="29">
        <v>3</v>
      </c>
      <c r="AB178" s="29">
        <v>8</v>
      </c>
      <c r="AC178" s="29">
        <v>8</v>
      </c>
      <c r="AD178" s="29" t="s">
        <v>386</v>
      </c>
      <c r="AE178" s="29" t="s">
        <v>386</v>
      </c>
      <c r="AF178" s="29" t="s">
        <v>386</v>
      </c>
      <c r="AG178" s="27">
        <v>11</v>
      </c>
      <c r="AH178" s="27">
        <v>8</v>
      </c>
      <c r="AI178" s="27">
        <v>0</v>
      </c>
      <c r="AJ178" s="23" t="s">
        <v>59</v>
      </c>
      <c r="AK178" s="23" t="s">
        <v>63</v>
      </c>
      <c r="AL178" s="30" t="s">
        <v>64</v>
      </c>
      <c r="AM178" s="23" t="s">
        <v>77</v>
      </c>
      <c r="AN178" s="31" t="s">
        <v>221</v>
      </c>
      <c r="AO178" s="23" t="s">
        <v>85</v>
      </c>
      <c r="AP178" s="23" t="s">
        <v>71</v>
      </c>
      <c r="AQ178" s="34">
        <v>6516</v>
      </c>
      <c r="AR178" s="23" t="s">
        <v>78</v>
      </c>
      <c r="AS178" s="23">
        <v>65</v>
      </c>
      <c r="AT178" s="23">
        <v>16</v>
      </c>
      <c r="AU178" s="23">
        <v>0</v>
      </c>
    </row>
    <row r="179" spans="1:47">
      <c r="A179" s="26" t="s">
        <v>75</v>
      </c>
      <c r="B179" s="23" t="s">
        <v>77</v>
      </c>
      <c r="C179" s="23">
        <v>4</v>
      </c>
      <c r="D179" s="23"/>
      <c r="E179" s="23" t="s">
        <v>76</v>
      </c>
      <c r="F179" s="23" t="s">
        <v>25</v>
      </c>
      <c r="G179" s="27">
        <v>2020</v>
      </c>
      <c r="H179" s="27">
        <v>20</v>
      </c>
      <c r="I179" s="27">
        <v>25</v>
      </c>
      <c r="J179" s="27">
        <v>20</v>
      </c>
      <c r="K179" s="27">
        <v>14</v>
      </c>
      <c r="L179" s="27">
        <v>14</v>
      </c>
      <c r="M179" s="27">
        <v>14</v>
      </c>
      <c r="N179" s="27">
        <v>14</v>
      </c>
      <c r="O179" s="27"/>
      <c r="P179" s="28">
        <v>56</v>
      </c>
      <c r="Q179" s="28">
        <v>44.5</v>
      </c>
      <c r="R179" s="28">
        <v>22.486666666666668</v>
      </c>
      <c r="S179" s="27">
        <v>80</v>
      </c>
      <c r="T179" s="29">
        <v>340</v>
      </c>
      <c r="U179" s="27">
        <v>250</v>
      </c>
      <c r="V179" s="27">
        <v>20</v>
      </c>
      <c r="W179" s="27">
        <v>146</v>
      </c>
      <c r="X179" s="29">
        <v>200</v>
      </c>
      <c r="Y179" s="27" t="s">
        <v>102</v>
      </c>
      <c r="Z179" s="27" t="s">
        <v>102</v>
      </c>
      <c r="AA179" s="29">
        <v>3</v>
      </c>
      <c r="AB179" s="29">
        <v>8</v>
      </c>
      <c r="AC179" s="29">
        <v>8</v>
      </c>
      <c r="AD179" s="29" t="s">
        <v>386</v>
      </c>
      <c r="AE179" s="29" t="s">
        <v>386</v>
      </c>
      <c r="AF179" s="29" t="s">
        <v>386</v>
      </c>
      <c r="AG179" s="27">
        <v>11</v>
      </c>
      <c r="AH179" s="27">
        <v>8</v>
      </c>
      <c r="AI179" s="27">
        <v>0</v>
      </c>
      <c r="AJ179" s="23" t="s">
        <v>59</v>
      </c>
      <c r="AK179" s="23" t="s">
        <v>63</v>
      </c>
      <c r="AL179" s="30" t="s">
        <v>64</v>
      </c>
      <c r="AM179" s="23" t="s">
        <v>77</v>
      </c>
      <c r="AN179" s="31" t="s">
        <v>221</v>
      </c>
      <c r="AO179" s="23" t="s">
        <v>85</v>
      </c>
      <c r="AP179" s="23" t="s">
        <v>71</v>
      </c>
      <c r="AQ179" s="34">
        <v>6516.01</v>
      </c>
      <c r="AR179" s="23" t="s">
        <v>78</v>
      </c>
      <c r="AS179" s="23">
        <v>65</v>
      </c>
      <c r="AT179" s="23">
        <v>16</v>
      </c>
      <c r="AU179" s="23">
        <v>1</v>
      </c>
    </row>
    <row r="180" spans="1:47">
      <c r="A180" s="26" t="s">
        <v>75</v>
      </c>
      <c r="B180" s="23" t="s">
        <v>77</v>
      </c>
      <c r="C180" s="23">
        <v>4</v>
      </c>
      <c r="D180" s="23"/>
      <c r="E180" s="23" t="s">
        <v>76</v>
      </c>
      <c r="F180" s="23" t="s">
        <v>25</v>
      </c>
      <c r="G180" s="27">
        <v>2020</v>
      </c>
      <c r="H180" s="27">
        <v>20</v>
      </c>
      <c r="I180" s="27">
        <v>25</v>
      </c>
      <c r="J180" s="27">
        <v>20</v>
      </c>
      <c r="K180" s="27">
        <v>14</v>
      </c>
      <c r="L180" s="27">
        <v>14</v>
      </c>
      <c r="M180" s="27">
        <v>14</v>
      </c>
      <c r="N180" s="27">
        <v>14</v>
      </c>
      <c r="O180" s="27"/>
      <c r="P180" s="28">
        <v>56</v>
      </c>
      <c r="Q180" s="28">
        <v>44.5</v>
      </c>
      <c r="R180" s="28">
        <v>22.486666666666668</v>
      </c>
      <c r="S180" s="27">
        <v>80</v>
      </c>
      <c r="T180" s="29">
        <v>340</v>
      </c>
      <c r="U180" s="27">
        <v>250</v>
      </c>
      <c r="V180" s="27">
        <v>20</v>
      </c>
      <c r="W180" s="27">
        <v>146</v>
      </c>
      <c r="X180" s="29">
        <v>200</v>
      </c>
      <c r="Y180" s="27" t="s">
        <v>113</v>
      </c>
      <c r="Z180" s="27" t="s">
        <v>113</v>
      </c>
      <c r="AA180" s="29">
        <v>3</v>
      </c>
      <c r="AB180" s="29">
        <v>8</v>
      </c>
      <c r="AC180" s="29">
        <v>8</v>
      </c>
      <c r="AD180" s="29" t="s">
        <v>386</v>
      </c>
      <c r="AE180" s="29" t="s">
        <v>386</v>
      </c>
      <c r="AF180" s="29" t="s">
        <v>386</v>
      </c>
      <c r="AG180" s="27">
        <v>11</v>
      </c>
      <c r="AH180" s="27">
        <v>8</v>
      </c>
      <c r="AI180" s="27">
        <v>0</v>
      </c>
      <c r="AJ180" s="23" t="s">
        <v>59</v>
      </c>
      <c r="AK180" s="23" t="s">
        <v>63</v>
      </c>
      <c r="AL180" s="30" t="s">
        <v>64</v>
      </c>
      <c r="AM180" s="23" t="s">
        <v>77</v>
      </c>
      <c r="AN180" s="31" t="s">
        <v>221</v>
      </c>
      <c r="AO180" s="23" t="s">
        <v>85</v>
      </c>
      <c r="AP180" s="23" t="s">
        <v>71</v>
      </c>
      <c r="AQ180" s="34">
        <v>6516.02</v>
      </c>
      <c r="AR180" s="23" t="s">
        <v>188</v>
      </c>
      <c r="AS180" s="23">
        <v>65</v>
      </c>
      <c r="AT180" s="23">
        <v>16</v>
      </c>
      <c r="AU180" s="23">
        <v>2</v>
      </c>
    </row>
    <row r="181" spans="1:47">
      <c r="A181" s="26" t="s">
        <v>75</v>
      </c>
      <c r="B181" s="23" t="s">
        <v>77</v>
      </c>
      <c r="C181" s="23">
        <v>4</v>
      </c>
      <c r="D181" s="23"/>
      <c r="E181" s="23" t="s">
        <v>76</v>
      </c>
      <c r="F181" s="23" t="s">
        <v>25</v>
      </c>
      <c r="G181" s="27">
        <v>2020</v>
      </c>
      <c r="H181" s="27">
        <v>20</v>
      </c>
      <c r="I181" s="27">
        <v>25</v>
      </c>
      <c r="J181" s="27">
        <v>20</v>
      </c>
      <c r="K181" s="27">
        <v>14</v>
      </c>
      <c r="L181" s="27">
        <v>14</v>
      </c>
      <c r="M181" s="27">
        <v>14</v>
      </c>
      <c r="N181" s="27">
        <v>14</v>
      </c>
      <c r="O181" s="27"/>
      <c r="P181" s="28">
        <v>56</v>
      </c>
      <c r="Q181" s="28">
        <v>44.5</v>
      </c>
      <c r="R181" s="28">
        <v>22.486666666666668</v>
      </c>
      <c r="S181" s="27">
        <v>80</v>
      </c>
      <c r="T181" s="29">
        <v>340</v>
      </c>
      <c r="U181" s="27">
        <v>250</v>
      </c>
      <c r="V181" s="27">
        <v>20</v>
      </c>
      <c r="W181" s="27">
        <v>146</v>
      </c>
      <c r="X181" s="29">
        <v>200</v>
      </c>
      <c r="Y181" s="27" t="s">
        <v>108</v>
      </c>
      <c r="Z181" s="27" t="s">
        <v>108</v>
      </c>
      <c r="AA181" s="29">
        <v>3</v>
      </c>
      <c r="AB181" s="29">
        <v>8</v>
      </c>
      <c r="AC181" s="29">
        <v>8</v>
      </c>
      <c r="AD181" s="29" t="s">
        <v>386</v>
      </c>
      <c r="AE181" s="29" t="s">
        <v>386</v>
      </c>
      <c r="AF181" s="29" t="s">
        <v>386</v>
      </c>
      <c r="AG181" s="27">
        <v>11</v>
      </c>
      <c r="AH181" s="27">
        <v>8</v>
      </c>
      <c r="AI181" s="27">
        <v>0</v>
      </c>
      <c r="AJ181" s="23" t="s">
        <v>59</v>
      </c>
      <c r="AK181" s="23" t="s">
        <v>63</v>
      </c>
      <c r="AL181" s="30" t="s">
        <v>64</v>
      </c>
      <c r="AM181" s="23" t="s">
        <v>77</v>
      </c>
      <c r="AN181" s="31" t="s">
        <v>221</v>
      </c>
      <c r="AO181" s="23" t="s">
        <v>85</v>
      </c>
      <c r="AP181" s="23" t="s">
        <v>71</v>
      </c>
      <c r="AQ181" s="34">
        <v>6516.03</v>
      </c>
      <c r="AR181" s="23" t="s">
        <v>188</v>
      </c>
      <c r="AS181" s="23">
        <v>65</v>
      </c>
      <c r="AT181" s="23">
        <v>16</v>
      </c>
      <c r="AU181" s="23">
        <v>3</v>
      </c>
    </row>
    <row r="182" spans="1:47">
      <c r="A182" s="26" t="s">
        <v>62</v>
      </c>
      <c r="B182" s="23" t="s">
        <v>77</v>
      </c>
      <c r="C182" s="23">
        <v>3</v>
      </c>
      <c r="D182" s="23"/>
      <c r="E182" s="23" t="s">
        <v>60</v>
      </c>
      <c r="F182" s="23" t="s">
        <v>19</v>
      </c>
      <c r="G182" s="27">
        <v>2012</v>
      </c>
      <c r="H182" s="27">
        <v>20</v>
      </c>
      <c r="I182" s="27">
        <v>25</v>
      </c>
      <c r="J182" s="27">
        <v>20</v>
      </c>
      <c r="K182" s="27">
        <v>14</v>
      </c>
      <c r="L182" s="27">
        <v>14</v>
      </c>
      <c r="M182" s="27">
        <v>14</v>
      </c>
      <c r="N182" s="27"/>
      <c r="O182" s="27"/>
      <c r="P182" s="28">
        <v>42</v>
      </c>
      <c r="Q182" s="28">
        <v>29.68</v>
      </c>
      <c r="R182" s="28">
        <v>41.24666666666667</v>
      </c>
      <c r="S182" s="27">
        <v>80</v>
      </c>
      <c r="T182" s="29">
        <v>353.6</v>
      </c>
      <c r="U182" s="27">
        <v>260</v>
      </c>
      <c r="V182" s="27">
        <v>18</v>
      </c>
      <c r="W182" s="27">
        <v>163</v>
      </c>
      <c r="X182" s="29">
        <v>200</v>
      </c>
      <c r="Y182" s="27" t="s">
        <v>69</v>
      </c>
      <c r="Z182" s="27" t="s">
        <v>69</v>
      </c>
      <c r="AA182" s="29">
        <v>3</v>
      </c>
      <c r="AB182" s="29">
        <v>8</v>
      </c>
      <c r="AC182" s="29">
        <v>8</v>
      </c>
      <c r="AD182" s="29" t="s">
        <v>386</v>
      </c>
      <c r="AE182" s="29" t="s">
        <v>386</v>
      </c>
      <c r="AF182" s="29" t="s">
        <v>386</v>
      </c>
      <c r="AG182" s="27">
        <v>11</v>
      </c>
      <c r="AH182" s="27">
        <v>8</v>
      </c>
      <c r="AI182" s="27">
        <v>0</v>
      </c>
      <c r="AJ182" s="23" t="s">
        <v>59</v>
      </c>
      <c r="AK182" s="23" t="s">
        <v>63</v>
      </c>
      <c r="AL182" s="30" t="s">
        <v>64</v>
      </c>
      <c r="AM182" s="23" t="s">
        <v>77</v>
      </c>
      <c r="AN182" s="31" t="s">
        <v>220</v>
      </c>
      <c r="AO182" s="23" t="s">
        <v>85</v>
      </c>
      <c r="AP182" s="23" t="s">
        <v>71</v>
      </c>
      <c r="AQ182" s="34">
        <v>6517</v>
      </c>
      <c r="AR182" s="23" t="s">
        <v>78</v>
      </c>
      <c r="AS182" s="23">
        <v>65</v>
      </c>
      <c r="AT182" s="23">
        <v>17</v>
      </c>
      <c r="AU182" s="23">
        <v>0</v>
      </c>
    </row>
    <row r="183" spans="1:47">
      <c r="A183" s="26" t="s">
        <v>62</v>
      </c>
      <c r="B183" s="23" t="s">
        <v>77</v>
      </c>
      <c r="C183" s="23">
        <v>3</v>
      </c>
      <c r="D183" s="23"/>
      <c r="E183" s="23" t="s">
        <v>60</v>
      </c>
      <c r="F183" s="23" t="s">
        <v>19</v>
      </c>
      <c r="G183" s="27">
        <v>2012</v>
      </c>
      <c r="H183" s="27">
        <v>20</v>
      </c>
      <c r="I183" s="27">
        <v>25</v>
      </c>
      <c r="J183" s="27">
        <v>20</v>
      </c>
      <c r="K183" s="27">
        <v>14</v>
      </c>
      <c r="L183" s="27">
        <v>14</v>
      </c>
      <c r="M183" s="27">
        <v>14</v>
      </c>
      <c r="N183" s="27"/>
      <c r="O183" s="27"/>
      <c r="P183" s="28">
        <v>42</v>
      </c>
      <c r="Q183" s="28">
        <v>29.68</v>
      </c>
      <c r="R183" s="28">
        <v>41.24666666666667</v>
      </c>
      <c r="S183" s="27">
        <v>80</v>
      </c>
      <c r="T183" s="29">
        <v>353.6</v>
      </c>
      <c r="U183" s="27">
        <v>260</v>
      </c>
      <c r="V183" s="27">
        <v>18</v>
      </c>
      <c r="W183" s="27">
        <v>163</v>
      </c>
      <c r="X183" s="29">
        <v>200</v>
      </c>
      <c r="Y183" s="27" t="s">
        <v>102</v>
      </c>
      <c r="Z183" s="27" t="s">
        <v>102</v>
      </c>
      <c r="AA183" s="29">
        <v>3</v>
      </c>
      <c r="AB183" s="29">
        <v>8</v>
      </c>
      <c r="AC183" s="29">
        <v>8</v>
      </c>
      <c r="AD183" s="29" t="s">
        <v>386</v>
      </c>
      <c r="AE183" s="29" t="s">
        <v>386</v>
      </c>
      <c r="AF183" s="29" t="s">
        <v>386</v>
      </c>
      <c r="AG183" s="27">
        <v>11</v>
      </c>
      <c r="AH183" s="27">
        <v>8</v>
      </c>
      <c r="AI183" s="27">
        <v>0</v>
      </c>
      <c r="AJ183" s="23" t="s">
        <v>59</v>
      </c>
      <c r="AK183" s="23" t="s">
        <v>63</v>
      </c>
      <c r="AL183" s="30" t="s">
        <v>64</v>
      </c>
      <c r="AM183" s="23" t="s">
        <v>77</v>
      </c>
      <c r="AN183" s="31" t="s">
        <v>220</v>
      </c>
      <c r="AO183" s="23" t="s">
        <v>85</v>
      </c>
      <c r="AP183" s="23" t="s">
        <v>71</v>
      </c>
      <c r="AQ183" s="34">
        <v>6517.01</v>
      </c>
      <c r="AR183" s="23" t="s">
        <v>78</v>
      </c>
      <c r="AS183" s="23">
        <v>65</v>
      </c>
      <c r="AT183" s="23">
        <v>17</v>
      </c>
      <c r="AU183" s="23">
        <v>1</v>
      </c>
    </row>
    <row r="184" spans="1:47">
      <c r="A184" s="26" t="s">
        <v>62</v>
      </c>
      <c r="B184" s="23" t="s">
        <v>77</v>
      </c>
      <c r="C184" s="23">
        <v>3</v>
      </c>
      <c r="D184" s="23"/>
      <c r="E184" s="23" t="s">
        <v>61</v>
      </c>
      <c r="F184" s="23" t="s">
        <v>20</v>
      </c>
      <c r="G184" s="27">
        <v>2014</v>
      </c>
      <c r="H184" s="27">
        <v>20</v>
      </c>
      <c r="I184" s="27">
        <v>25</v>
      </c>
      <c r="J184" s="27">
        <v>20</v>
      </c>
      <c r="K184" s="27">
        <v>14</v>
      </c>
      <c r="L184" s="27">
        <v>14</v>
      </c>
      <c r="M184" s="27">
        <v>14</v>
      </c>
      <c r="N184" s="27"/>
      <c r="O184" s="27"/>
      <c r="P184" s="28">
        <v>42</v>
      </c>
      <c r="Q184" s="28">
        <v>32.352000000000004</v>
      </c>
      <c r="R184" s="28">
        <v>29.32533333333334</v>
      </c>
      <c r="S184" s="27">
        <v>80</v>
      </c>
      <c r="T184" s="29">
        <v>299.20000000000005</v>
      </c>
      <c r="U184" s="27">
        <v>220</v>
      </c>
      <c r="V184" s="27">
        <v>19</v>
      </c>
      <c r="W184" s="27">
        <v>163</v>
      </c>
      <c r="X184" s="29">
        <v>200</v>
      </c>
      <c r="Y184" s="27" t="s">
        <v>69</v>
      </c>
      <c r="Z184" s="27" t="s">
        <v>69</v>
      </c>
      <c r="AA184" s="29">
        <v>3</v>
      </c>
      <c r="AB184" s="29">
        <v>8</v>
      </c>
      <c r="AC184" s="29">
        <v>8</v>
      </c>
      <c r="AD184" s="29" t="s">
        <v>386</v>
      </c>
      <c r="AE184" s="29" t="s">
        <v>386</v>
      </c>
      <c r="AF184" s="29" t="s">
        <v>386</v>
      </c>
      <c r="AG184" s="27">
        <v>11</v>
      </c>
      <c r="AH184" s="27">
        <v>8</v>
      </c>
      <c r="AI184" s="27">
        <v>0</v>
      </c>
      <c r="AJ184" s="23" t="s">
        <v>59</v>
      </c>
      <c r="AK184" s="23" t="s">
        <v>63</v>
      </c>
      <c r="AL184" s="30" t="s">
        <v>64</v>
      </c>
      <c r="AM184" s="23" t="s">
        <v>77</v>
      </c>
      <c r="AN184" s="31" t="s">
        <v>220</v>
      </c>
      <c r="AO184" s="23" t="s">
        <v>85</v>
      </c>
      <c r="AP184" s="23" t="s">
        <v>71</v>
      </c>
      <c r="AQ184" s="34">
        <v>6518</v>
      </c>
      <c r="AR184" s="23" t="s">
        <v>78</v>
      </c>
      <c r="AS184" s="23">
        <v>65</v>
      </c>
      <c r="AT184" s="23">
        <v>18</v>
      </c>
      <c r="AU184" s="23">
        <v>0</v>
      </c>
    </row>
    <row r="185" spans="1:47">
      <c r="A185" s="26" t="s">
        <v>62</v>
      </c>
      <c r="B185" s="23" t="s">
        <v>77</v>
      </c>
      <c r="C185" s="23">
        <v>3</v>
      </c>
      <c r="D185" s="23"/>
      <c r="E185" s="23" t="s">
        <v>61</v>
      </c>
      <c r="F185" s="23" t="s">
        <v>20</v>
      </c>
      <c r="G185" s="27">
        <v>2014</v>
      </c>
      <c r="H185" s="27">
        <v>20</v>
      </c>
      <c r="I185" s="27">
        <v>25</v>
      </c>
      <c r="J185" s="27">
        <v>20</v>
      </c>
      <c r="K185" s="27">
        <v>14</v>
      </c>
      <c r="L185" s="27">
        <v>14</v>
      </c>
      <c r="M185" s="27">
        <v>14</v>
      </c>
      <c r="N185" s="27"/>
      <c r="O185" s="27"/>
      <c r="P185" s="28">
        <v>42</v>
      </c>
      <c r="Q185" s="28">
        <v>32.352000000000004</v>
      </c>
      <c r="R185" s="28">
        <v>29.32533333333334</v>
      </c>
      <c r="S185" s="27">
        <v>80</v>
      </c>
      <c r="T185" s="29">
        <v>299.20000000000005</v>
      </c>
      <c r="U185" s="27">
        <v>220</v>
      </c>
      <c r="V185" s="27">
        <v>19</v>
      </c>
      <c r="W185" s="27">
        <v>163</v>
      </c>
      <c r="X185" s="29">
        <v>200</v>
      </c>
      <c r="Y185" s="27" t="s">
        <v>102</v>
      </c>
      <c r="Z185" s="27" t="s">
        <v>102</v>
      </c>
      <c r="AA185" s="29">
        <v>3</v>
      </c>
      <c r="AB185" s="29">
        <v>8</v>
      </c>
      <c r="AC185" s="29">
        <v>8</v>
      </c>
      <c r="AD185" s="29" t="s">
        <v>386</v>
      </c>
      <c r="AE185" s="29" t="s">
        <v>386</v>
      </c>
      <c r="AF185" s="29" t="s">
        <v>386</v>
      </c>
      <c r="AG185" s="27">
        <v>11</v>
      </c>
      <c r="AH185" s="27">
        <v>8</v>
      </c>
      <c r="AI185" s="27">
        <v>0</v>
      </c>
      <c r="AJ185" s="23" t="s">
        <v>59</v>
      </c>
      <c r="AK185" s="23" t="s">
        <v>63</v>
      </c>
      <c r="AL185" s="30" t="s">
        <v>64</v>
      </c>
      <c r="AM185" s="23" t="s">
        <v>77</v>
      </c>
      <c r="AN185" s="31" t="s">
        <v>220</v>
      </c>
      <c r="AO185" s="23" t="s">
        <v>85</v>
      </c>
      <c r="AP185" s="23" t="s">
        <v>71</v>
      </c>
      <c r="AQ185" s="34">
        <v>6518.01</v>
      </c>
      <c r="AR185" s="23" t="s">
        <v>78</v>
      </c>
      <c r="AS185" s="23">
        <v>65</v>
      </c>
      <c r="AT185" s="23">
        <v>18</v>
      </c>
      <c r="AU185" s="23">
        <v>1</v>
      </c>
    </row>
    <row r="186" spans="1:47">
      <c r="A186" s="26" t="s">
        <v>75</v>
      </c>
      <c r="B186" s="23" t="s">
        <v>77</v>
      </c>
      <c r="C186" s="23">
        <v>3</v>
      </c>
      <c r="D186" s="23"/>
      <c r="E186" s="23" t="s">
        <v>76</v>
      </c>
      <c r="F186" s="23" t="s">
        <v>26</v>
      </c>
      <c r="G186" s="27">
        <v>2020</v>
      </c>
      <c r="H186" s="27">
        <v>20</v>
      </c>
      <c r="I186" s="27">
        <v>25</v>
      </c>
      <c r="J186" s="27">
        <v>20</v>
      </c>
      <c r="K186" s="27">
        <v>14</v>
      </c>
      <c r="L186" s="27">
        <v>14</v>
      </c>
      <c r="M186" s="27">
        <v>14</v>
      </c>
      <c r="N186" s="27"/>
      <c r="O186" s="27"/>
      <c r="P186" s="28">
        <v>42</v>
      </c>
      <c r="Q186" s="28">
        <v>43.5</v>
      </c>
      <c r="R186" s="28">
        <v>21.486666666666668</v>
      </c>
      <c r="S186" s="27">
        <v>80</v>
      </c>
      <c r="T186" s="29">
        <v>340</v>
      </c>
      <c r="U186" s="27">
        <v>250</v>
      </c>
      <c r="V186" s="27">
        <v>20</v>
      </c>
      <c r="W186" s="27">
        <v>146</v>
      </c>
      <c r="X186" s="29">
        <v>200</v>
      </c>
      <c r="Y186" s="27" t="s">
        <v>69</v>
      </c>
      <c r="Z186" s="27" t="s">
        <v>69</v>
      </c>
      <c r="AA186" s="29">
        <v>3</v>
      </c>
      <c r="AB186" s="29">
        <v>8</v>
      </c>
      <c r="AC186" s="29">
        <v>8</v>
      </c>
      <c r="AD186" s="29" t="s">
        <v>386</v>
      </c>
      <c r="AE186" s="29" t="s">
        <v>386</v>
      </c>
      <c r="AF186" s="29" t="s">
        <v>386</v>
      </c>
      <c r="AG186" s="27">
        <v>11</v>
      </c>
      <c r="AH186" s="27">
        <v>8</v>
      </c>
      <c r="AI186" s="27">
        <v>0</v>
      </c>
      <c r="AJ186" s="23" t="s">
        <v>59</v>
      </c>
      <c r="AK186" s="23" t="s">
        <v>63</v>
      </c>
      <c r="AL186" s="30" t="s">
        <v>64</v>
      </c>
      <c r="AM186" s="23" t="s">
        <v>77</v>
      </c>
      <c r="AN186" s="31" t="s">
        <v>220</v>
      </c>
      <c r="AO186" s="23" t="s">
        <v>85</v>
      </c>
      <c r="AP186" s="23" t="s">
        <v>71</v>
      </c>
      <c r="AQ186" s="34">
        <v>6519</v>
      </c>
      <c r="AR186" s="23" t="s">
        <v>78</v>
      </c>
      <c r="AS186" s="23">
        <v>65</v>
      </c>
      <c r="AT186" s="23">
        <v>19</v>
      </c>
      <c r="AU186" s="23">
        <v>0</v>
      </c>
    </row>
    <row r="187" spans="1:47">
      <c r="A187" s="26" t="s">
        <v>75</v>
      </c>
      <c r="B187" s="23" t="s">
        <v>77</v>
      </c>
      <c r="C187" s="23">
        <v>3</v>
      </c>
      <c r="D187" s="23"/>
      <c r="E187" s="23" t="s">
        <v>76</v>
      </c>
      <c r="F187" s="23" t="s">
        <v>26</v>
      </c>
      <c r="G187" s="27">
        <v>2020</v>
      </c>
      <c r="H187" s="27">
        <v>20</v>
      </c>
      <c r="I187" s="27">
        <v>25</v>
      </c>
      <c r="J187" s="27">
        <v>20</v>
      </c>
      <c r="K187" s="27">
        <v>14</v>
      </c>
      <c r="L187" s="27">
        <v>14</v>
      </c>
      <c r="M187" s="27">
        <v>14</v>
      </c>
      <c r="N187" s="27"/>
      <c r="O187" s="27"/>
      <c r="P187" s="28">
        <v>42</v>
      </c>
      <c r="Q187" s="28">
        <v>43.5</v>
      </c>
      <c r="R187" s="28">
        <v>21.486666666666668</v>
      </c>
      <c r="S187" s="27">
        <v>80</v>
      </c>
      <c r="T187" s="29">
        <v>340</v>
      </c>
      <c r="U187" s="27">
        <v>250</v>
      </c>
      <c r="V187" s="27">
        <v>20</v>
      </c>
      <c r="W187" s="27">
        <v>146</v>
      </c>
      <c r="X187" s="29">
        <v>200</v>
      </c>
      <c r="Y187" s="27" t="s">
        <v>102</v>
      </c>
      <c r="Z187" s="27" t="s">
        <v>102</v>
      </c>
      <c r="AA187" s="29">
        <v>3</v>
      </c>
      <c r="AB187" s="29">
        <v>8</v>
      </c>
      <c r="AC187" s="29">
        <v>8</v>
      </c>
      <c r="AD187" s="29" t="s">
        <v>386</v>
      </c>
      <c r="AE187" s="29" t="s">
        <v>386</v>
      </c>
      <c r="AF187" s="29" t="s">
        <v>386</v>
      </c>
      <c r="AG187" s="27">
        <v>11</v>
      </c>
      <c r="AH187" s="27">
        <v>8</v>
      </c>
      <c r="AI187" s="27">
        <v>0</v>
      </c>
      <c r="AJ187" s="23" t="s">
        <v>59</v>
      </c>
      <c r="AK187" s="23" t="s">
        <v>63</v>
      </c>
      <c r="AL187" s="30" t="s">
        <v>64</v>
      </c>
      <c r="AM187" s="23" t="s">
        <v>77</v>
      </c>
      <c r="AN187" s="31" t="s">
        <v>220</v>
      </c>
      <c r="AO187" s="23" t="s">
        <v>85</v>
      </c>
      <c r="AP187" s="23" t="s">
        <v>71</v>
      </c>
      <c r="AQ187" s="34">
        <v>6519.01</v>
      </c>
      <c r="AR187" s="23" t="s">
        <v>78</v>
      </c>
      <c r="AS187" s="23">
        <v>65</v>
      </c>
      <c r="AT187" s="23">
        <v>19</v>
      </c>
      <c r="AU187" s="23">
        <v>1</v>
      </c>
    </row>
    <row r="188" spans="1:47">
      <c r="A188" s="26" t="s">
        <v>62</v>
      </c>
      <c r="B188" s="23" t="s">
        <v>78</v>
      </c>
      <c r="C188" s="23">
        <v>4</v>
      </c>
      <c r="D188" s="23"/>
      <c r="E188" s="23" t="s">
        <v>60</v>
      </c>
      <c r="F188" s="23" t="s">
        <v>13</v>
      </c>
      <c r="G188" s="27">
        <v>2012</v>
      </c>
      <c r="H188" s="27">
        <v>20</v>
      </c>
      <c r="I188" s="27">
        <v>25</v>
      </c>
      <c r="J188" s="27">
        <v>20</v>
      </c>
      <c r="K188" s="27">
        <v>14</v>
      </c>
      <c r="L188" s="27">
        <v>14</v>
      </c>
      <c r="M188" s="27">
        <v>14</v>
      </c>
      <c r="N188" s="27">
        <v>14</v>
      </c>
      <c r="O188" s="27"/>
      <c r="P188" s="28">
        <v>56</v>
      </c>
      <c r="Q188" s="28">
        <v>33.72</v>
      </c>
      <c r="R188" s="28">
        <v>46.646666666666668</v>
      </c>
      <c r="S188" s="27">
        <v>80</v>
      </c>
      <c r="T188" s="29">
        <v>394.40000000000003</v>
      </c>
      <c r="U188" s="27">
        <v>290</v>
      </c>
      <c r="V188" s="27">
        <v>20</v>
      </c>
      <c r="W188" s="27">
        <v>181</v>
      </c>
      <c r="X188" s="29">
        <v>200</v>
      </c>
      <c r="Y188" s="27" t="s">
        <v>69</v>
      </c>
      <c r="Z188" s="27" t="s">
        <v>69</v>
      </c>
      <c r="AA188" s="29">
        <v>3</v>
      </c>
      <c r="AB188" s="29">
        <v>8</v>
      </c>
      <c r="AC188" s="29">
        <v>2</v>
      </c>
      <c r="AD188" s="29">
        <v>8</v>
      </c>
      <c r="AE188" s="29" t="s">
        <v>386</v>
      </c>
      <c r="AF188" s="29" t="s">
        <v>386</v>
      </c>
      <c r="AG188" s="27">
        <v>11</v>
      </c>
      <c r="AH188" s="27">
        <v>10</v>
      </c>
      <c r="AI188" s="27">
        <v>0</v>
      </c>
      <c r="AJ188" s="23" t="s">
        <v>59</v>
      </c>
      <c r="AK188" s="23" t="s">
        <v>63</v>
      </c>
      <c r="AL188" s="30" t="s">
        <v>64</v>
      </c>
      <c r="AM188" s="23" t="s">
        <v>78</v>
      </c>
      <c r="AN188" s="31" t="s">
        <v>221</v>
      </c>
      <c r="AO188" s="23" t="s">
        <v>86</v>
      </c>
      <c r="AP188" s="23" t="s">
        <v>71</v>
      </c>
      <c r="AQ188" s="34">
        <v>6520</v>
      </c>
      <c r="AR188" s="23" t="s">
        <v>78</v>
      </c>
      <c r="AS188" s="23">
        <v>65</v>
      </c>
      <c r="AT188" s="23">
        <v>20</v>
      </c>
      <c r="AU188" s="23">
        <v>0</v>
      </c>
    </row>
    <row r="189" spans="1:47">
      <c r="A189" s="26" t="s">
        <v>62</v>
      </c>
      <c r="B189" s="23" t="s">
        <v>78</v>
      </c>
      <c r="C189" s="23">
        <v>4</v>
      </c>
      <c r="D189" s="23"/>
      <c r="E189" s="23" t="s">
        <v>60</v>
      </c>
      <c r="F189" s="23" t="s">
        <v>13</v>
      </c>
      <c r="G189" s="27">
        <v>2012</v>
      </c>
      <c r="H189" s="27">
        <v>20</v>
      </c>
      <c r="I189" s="27">
        <v>25</v>
      </c>
      <c r="J189" s="27">
        <v>20</v>
      </c>
      <c r="K189" s="27">
        <v>14</v>
      </c>
      <c r="L189" s="27">
        <v>14</v>
      </c>
      <c r="M189" s="27">
        <v>14</v>
      </c>
      <c r="N189" s="27">
        <v>14</v>
      </c>
      <c r="O189" s="27"/>
      <c r="P189" s="28">
        <v>56</v>
      </c>
      <c r="Q189" s="28">
        <v>33.72</v>
      </c>
      <c r="R189" s="28">
        <v>46.646666666666668</v>
      </c>
      <c r="S189" s="27">
        <v>80</v>
      </c>
      <c r="T189" s="29">
        <v>394.40000000000003</v>
      </c>
      <c r="U189" s="27">
        <v>290</v>
      </c>
      <c r="V189" s="27">
        <v>20</v>
      </c>
      <c r="W189" s="27">
        <v>181</v>
      </c>
      <c r="X189" s="29">
        <v>200</v>
      </c>
      <c r="Y189" s="27" t="s">
        <v>102</v>
      </c>
      <c r="Z189" s="27" t="s">
        <v>102</v>
      </c>
      <c r="AA189" s="29">
        <v>3</v>
      </c>
      <c r="AB189" s="29">
        <v>8</v>
      </c>
      <c r="AC189" s="29">
        <v>2</v>
      </c>
      <c r="AD189" s="29">
        <v>8</v>
      </c>
      <c r="AE189" s="29" t="s">
        <v>386</v>
      </c>
      <c r="AF189" s="29" t="s">
        <v>386</v>
      </c>
      <c r="AG189" s="27">
        <v>11</v>
      </c>
      <c r="AH189" s="27">
        <v>10</v>
      </c>
      <c r="AI189" s="27">
        <v>0</v>
      </c>
      <c r="AJ189" s="23" t="s">
        <v>59</v>
      </c>
      <c r="AK189" s="23" t="s">
        <v>63</v>
      </c>
      <c r="AL189" s="30" t="s">
        <v>64</v>
      </c>
      <c r="AM189" s="23" t="s">
        <v>78</v>
      </c>
      <c r="AN189" s="31" t="s">
        <v>221</v>
      </c>
      <c r="AO189" s="23" t="s">
        <v>86</v>
      </c>
      <c r="AP189" s="23" t="s">
        <v>71</v>
      </c>
      <c r="AQ189" s="34">
        <v>6520.01</v>
      </c>
      <c r="AR189" s="23" t="s">
        <v>78</v>
      </c>
      <c r="AS189" s="23">
        <v>65</v>
      </c>
      <c r="AT189" s="23">
        <v>20</v>
      </c>
      <c r="AU189" s="23">
        <v>1</v>
      </c>
    </row>
    <row r="190" spans="1:47">
      <c r="A190" s="26" t="s">
        <v>62</v>
      </c>
      <c r="B190" s="23" t="s">
        <v>79</v>
      </c>
      <c r="C190" s="23">
        <v>5</v>
      </c>
      <c r="D190" s="23"/>
      <c r="E190" s="23" t="s">
        <v>60</v>
      </c>
      <c r="F190" s="23" t="s">
        <v>14</v>
      </c>
      <c r="G190" s="27">
        <v>2012</v>
      </c>
      <c r="H190" s="27">
        <v>20</v>
      </c>
      <c r="I190" s="27">
        <v>25</v>
      </c>
      <c r="J190" s="27">
        <v>20</v>
      </c>
      <c r="K190" s="27">
        <v>14</v>
      </c>
      <c r="L190" s="27">
        <v>14</v>
      </c>
      <c r="M190" s="27">
        <v>14</v>
      </c>
      <c r="N190" s="27">
        <v>14</v>
      </c>
      <c r="O190" s="27">
        <v>14</v>
      </c>
      <c r="P190" s="28">
        <v>70</v>
      </c>
      <c r="Q190" s="28">
        <v>35.22</v>
      </c>
      <c r="R190" s="28">
        <v>47.866666666666667</v>
      </c>
      <c r="S190" s="27">
        <v>80</v>
      </c>
      <c r="T190" s="29">
        <v>394.40000000000003</v>
      </c>
      <c r="U190" s="27">
        <v>290</v>
      </c>
      <c r="V190" s="27">
        <v>21</v>
      </c>
      <c r="W190" s="27">
        <v>199</v>
      </c>
      <c r="X190" s="29">
        <v>200</v>
      </c>
      <c r="Y190" s="27" t="s">
        <v>69</v>
      </c>
      <c r="Z190" s="27" t="s">
        <v>69</v>
      </c>
      <c r="AA190" s="29">
        <v>4</v>
      </c>
      <c r="AB190" s="29">
        <v>8</v>
      </c>
      <c r="AC190" s="29">
        <v>3</v>
      </c>
      <c r="AD190" s="29">
        <v>8</v>
      </c>
      <c r="AE190" s="29" t="s">
        <v>386</v>
      </c>
      <c r="AF190" s="29" t="s">
        <v>386</v>
      </c>
      <c r="AG190" s="27">
        <v>12</v>
      </c>
      <c r="AH190" s="27">
        <v>11</v>
      </c>
      <c r="AI190" s="27">
        <v>0</v>
      </c>
      <c r="AJ190" s="23" t="s">
        <v>59</v>
      </c>
      <c r="AK190" s="23" t="s">
        <v>63</v>
      </c>
      <c r="AL190" s="30" t="s">
        <v>64</v>
      </c>
      <c r="AM190" s="23" t="s">
        <v>79</v>
      </c>
      <c r="AN190" s="31" t="s">
        <v>222</v>
      </c>
      <c r="AO190" s="23" t="s">
        <v>87</v>
      </c>
      <c r="AP190" s="23" t="s">
        <v>71</v>
      </c>
      <c r="AQ190" s="34">
        <v>6521</v>
      </c>
      <c r="AR190" s="23" t="s">
        <v>78</v>
      </c>
      <c r="AS190" s="23">
        <v>65</v>
      </c>
      <c r="AT190" s="23">
        <v>21</v>
      </c>
      <c r="AU190" s="23">
        <v>0</v>
      </c>
    </row>
    <row r="191" spans="1:47">
      <c r="A191" s="26" t="s">
        <v>62</v>
      </c>
      <c r="B191" s="23" t="s">
        <v>79</v>
      </c>
      <c r="C191" s="23">
        <v>5</v>
      </c>
      <c r="D191" s="23"/>
      <c r="E191" s="23" t="s">
        <v>60</v>
      </c>
      <c r="F191" s="23" t="s">
        <v>14</v>
      </c>
      <c r="G191" s="27">
        <v>2012</v>
      </c>
      <c r="H191" s="27">
        <v>20</v>
      </c>
      <c r="I191" s="27">
        <v>25</v>
      </c>
      <c r="J191" s="27">
        <v>20</v>
      </c>
      <c r="K191" s="27">
        <v>14</v>
      </c>
      <c r="L191" s="27">
        <v>14</v>
      </c>
      <c r="M191" s="27">
        <v>14</v>
      </c>
      <c r="N191" s="27">
        <v>14</v>
      </c>
      <c r="O191" s="27">
        <v>14</v>
      </c>
      <c r="P191" s="28">
        <v>70</v>
      </c>
      <c r="Q191" s="28">
        <v>35.22</v>
      </c>
      <c r="R191" s="28">
        <v>47.866666666666667</v>
      </c>
      <c r="S191" s="27">
        <v>80</v>
      </c>
      <c r="T191" s="29">
        <v>394.40000000000003</v>
      </c>
      <c r="U191" s="27">
        <v>290</v>
      </c>
      <c r="V191" s="27">
        <v>21</v>
      </c>
      <c r="W191" s="27">
        <v>199</v>
      </c>
      <c r="X191" s="29">
        <v>200</v>
      </c>
      <c r="Y191" s="27" t="s">
        <v>102</v>
      </c>
      <c r="Z191" s="27" t="s">
        <v>102</v>
      </c>
      <c r="AA191" s="29">
        <v>4</v>
      </c>
      <c r="AB191" s="29">
        <v>8</v>
      </c>
      <c r="AC191" s="29">
        <v>3</v>
      </c>
      <c r="AD191" s="29">
        <v>8</v>
      </c>
      <c r="AE191" s="29" t="s">
        <v>386</v>
      </c>
      <c r="AF191" s="29" t="s">
        <v>386</v>
      </c>
      <c r="AG191" s="27">
        <v>12</v>
      </c>
      <c r="AH191" s="27">
        <v>11</v>
      </c>
      <c r="AI191" s="27">
        <v>0</v>
      </c>
      <c r="AJ191" s="23" t="s">
        <v>59</v>
      </c>
      <c r="AK191" s="23" t="s">
        <v>63</v>
      </c>
      <c r="AL191" s="30" t="s">
        <v>64</v>
      </c>
      <c r="AM191" s="23" t="s">
        <v>79</v>
      </c>
      <c r="AN191" s="31" t="s">
        <v>222</v>
      </c>
      <c r="AO191" s="23" t="s">
        <v>87</v>
      </c>
      <c r="AP191" s="23" t="s">
        <v>71</v>
      </c>
      <c r="AQ191" s="34">
        <v>6521.01</v>
      </c>
      <c r="AR191" s="23" t="s">
        <v>78</v>
      </c>
      <c r="AS191" s="23">
        <v>65</v>
      </c>
      <c r="AT191" s="23">
        <v>21</v>
      </c>
      <c r="AU191" s="23">
        <v>1</v>
      </c>
    </row>
    <row r="192" spans="1:47">
      <c r="A192" s="26" t="s">
        <v>74</v>
      </c>
      <c r="B192" s="23" t="s">
        <v>55</v>
      </c>
      <c r="C192" s="23">
        <v>3</v>
      </c>
      <c r="D192" s="23"/>
      <c r="E192" s="23" t="s">
        <v>60</v>
      </c>
      <c r="F192" s="23" t="s">
        <v>8</v>
      </c>
      <c r="G192" s="27">
        <v>2016</v>
      </c>
      <c r="H192" s="27">
        <v>20</v>
      </c>
      <c r="I192" s="27">
        <v>25</v>
      </c>
      <c r="J192" s="27">
        <v>20</v>
      </c>
      <c r="K192" s="27">
        <v>14</v>
      </c>
      <c r="L192" s="27">
        <v>14</v>
      </c>
      <c r="M192" s="27">
        <v>14</v>
      </c>
      <c r="N192" s="27"/>
      <c r="O192" s="27"/>
      <c r="P192" s="28">
        <v>42</v>
      </c>
      <c r="Q192" s="28">
        <v>23.46</v>
      </c>
      <c r="R192" s="28">
        <v>34.693333333333342</v>
      </c>
      <c r="S192" s="27">
        <v>75</v>
      </c>
      <c r="T192" s="29">
        <v>299.20000000000005</v>
      </c>
      <c r="U192" s="27">
        <v>220</v>
      </c>
      <c r="V192" s="27">
        <v>11</v>
      </c>
      <c r="W192" s="27">
        <v>101</v>
      </c>
      <c r="X192" s="29">
        <v>200</v>
      </c>
      <c r="Y192" s="27" t="s">
        <v>69</v>
      </c>
      <c r="Z192" s="27" t="s">
        <v>69</v>
      </c>
      <c r="AA192" s="29">
        <v>5</v>
      </c>
      <c r="AB192" s="29">
        <v>8</v>
      </c>
      <c r="AC192" s="29" t="s">
        <v>386</v>
      </c>
      <c r="AD192" s="29" t="s">
        <v>386</v>
      </c>
      <c r="AE192" s="29" t="s">
        <v>386</v>
      </c>
      <c r="AF192" s="29" t="s">
        <v>386</v>
      </c>
      <c r="AG192" s="27">
        <v>13</v>
      </c>
      <c r="AH192" s="27">
        <v>0</v>
      </c>
      <c r="AI192" s="27">
        <v>0</v>
      </c>
      <c r="AJ192" s="23" t="s">
        <v>99</v>
      </c>
      <c r="AK192" s="23" t="s">
        <v>84</v>
      </c>
      <c r="AL192" s="30">
        <v>3</v>
      </c>
      <c r="AM192" s="23"/>
      <c r="AN192" s="31" t="s">
        <v>220</v>
      </c>
      <c r="AO192" s="23" t="s">
        <v>66</v>
      </c>
      <c r="AP192" s="23" t="s">
        <v>71</v>
      </c>
      <c r="AQ192" s="34">
        <v>6522</v>
      </c>
      <c r="AR192" s="23" t="s">
        <v>78</v>
      </c>
      <c r="AS192" s="23">
        <v>65</v>
      </c>
      <c r="AT192" s="23">
        <v>22</v>
      </c>
      <c r="AU192" s="23">
        <v>0</v>
      </c>
    </row>
    <row r="193" spans="1:47">
      <c r="A193" s="26" t="s">
        <v>74</v>
      </c>
      <c r="B193" s="23" t="s">
        <v>55</v>
      </c>
      <c r="C193" s="23">
        <v>3</v>
      </c>
      <c r="D193" s="23"/>
      <c r="E193" s="23" t="s">
        <v>60</v>
      </c>
      <c r="F193" s="23" t="s">
        <v>8</v>
      </c>
      <c r="G193" s="27">
        <v>2016</v>
      </c>
      <c r="H193" s="27">
        <v>20</v>
      </c>
      <c r="I193" s="27">
        <v>25</v>
      </c>
      <c r="J193" s="27">
        <v>20</v>
      </c>
      <c r="K193" s="27">
        <v>14</v>
      </c>
      <c r="L193" s="27">
        <v>14</v>
      </c>
      <c r="M193" s="27">
        <v>14</v>
      </c>
      <c r="N193" s="27"/>
      <c r="O193" s="27"/>
      <c r="P193" s="28">
        <v>42</v>
      </c>
      <c r="Q193" s="28">
        <v>23.46</v>
      </c>
      <c r="R193" s="28">
        <v>34.693333333333342</v>
      </c>
      <c r="S193" s="27">
        <v>75</v>
      </c>
      <c r="T193" s="29">
        <v>299.20000000000005</v>
      </c>
      <c r="U193" s="27">
        <v>220</v>
      </c>
      <c r="V193" s="27">
        <v>11</v>
      </c>
      <c r="W193" s="27">
        <v>101</v>
      </c>
      <c r="X193" s="29">
        <v>200</v>
      </c>
      <c r="Y193" s="27" t="s">
        <v>102</v>
      </c>
      <c r="Z193" s="27" t="s">
        <v>102</v>
      </c>
      <c r="AA193" s="29">
        <v>5</v>
      </c>
      <c r="AB193" s="29">
        <v>8</v>
      </c>
      <c r="AC193" s="29" t="s">
        <v>386</v>
      </c>
      <c r="AD193" s="29" t="s">
        <v>386</v>
      </c>
      <c r="AE193" s="29" t="s">
        <v>386</v>
      </c>
      <c r="AF193" s="29" t="s">
        <v>386</v>
      </c>
      <c r="AG193" s="27">
        <v>13</v>
      </c>
      <c r="AH193" s="27">
        <v>0</v>
      </c>
      <c r="AI193" s="27">
        <v>0</v>
      </c>
      <c r="AJ193" s="23" t="s">
        <v>99</v>
      </c>
      <c r="AK193" s="23" t="s">
        <v>84</v>
      </c>
      <c r="AL193" s="30">
        <v>3</v>
      </c>
      <c r="AM193" s="23"/>
      <c r="AN193" s="31" t="s">
        <v>220</v>
      </c>
      <c r="AO193" s="23" t="s">
        <v>66</v>
      </c>
      <c r="AP193" s="23" t="s">
        <v>71</v>
      </c>
      <c r="AQ193" s="34">
        <v>6522.01</v>
      </c>
      <c r="AR193" s="23" t="s">
        <v>78</v>
      </c>
      <c r="AS193" s="23">
        <v>65</v>
      </c>
      <c r="AT193" s="23">
        <v>22</v>
      </c>
      <c r="AU193" s="23">
        <v>1</v>
      </c>
    </row>
    <row r="194" spans="1:47">
      <c r="A194" s="26" t="s">
        <v>74</v>
      </c>
      <c r="B194" s="23" t="s">
        <v>77</v>
      </c>
      <c r="C194" s="23">
        <v>4</v>
      </c>
      <c r="D194" s="23"/>
      <c r="E194" s="23" t="s">
        <v>60</v>
      </c>
      <c r="F194" s="23" t="s">
        <v>9</v>
      </c>
      <c r="G194" s="27">
        <v>2016</v>
      </c>
      <c r="H194" s="27">
        <v>20</v>
      </c>
      <c r="I194" s="27">
        <v>25</v>
      </c>
      <c r="J194" s="27">
        <v>20</v>
      </c>
      <c r="K194" s="27">
        <v>14</v>
      </c>
      <c r="L194" s="27">
        <v>14</v>
      </c>
      <c r="M194" s="27">
        <v>14</v>
      </c>
      <c r="N194" s="27">
        <v>14</v>
      </c>
      <c r="O194" s="27"/>
      <c r="P194" s="28">
        <v>56</v>
      </c>
      <c r="Q194" s="28">
        <v>30.520000000000003</v>
      </c>
      <c r="R194" s="28">
        <v>42.74</v>
      </c>
      <c r="S194" s="27">
        <v>75</v>
      </c>
      <c r="T194" s="29">
        <v>360.40000000000003</v>
      </c>
      <c r="U194" s="27">
        <v>265</v>
      </c>
      <c r="V194" s="27">
        <v>17</v>
      </c>
      <c r="W194" s="27">
        <v>150</v>
      </c>
      <c r="X194" s="29">
        <v>200</v>
      </c>
      <c r="Y194" s="27" t="s">
        <v>69</v>
      </c>
      <c r="Z194" s="27" t="s">
        <v>69</v>
      </c>
      <c r="AA194" s="29">
        <v>3</v>
      </c>
      <c r="AB194" s="29">
        <v>8</v>
      </c>
      <c r="AC194" s="29">
        <v>8</v>
      </c>
      <c r="AD194" s="29" t="s">
        <v>386</v>
      </c>
      <c r="AE194" s="29" t="s">
        <v>386</v>
      </c>
      <c r="AF194" s="29" t="s">
        <v>386</v>
      </c>
      <c r="AG194" s="27">
        <v>11</v>
      </c>
      <c r="AH194" s="27">
        <v>8</v>
      </c>
      <c r="AI194" s="27">
        <v>0</v>
      </c>
      <c r="AJ194" s="23" t="s">
        <v>99</v>
      </c>
      <c r="AK194" s="23" t="s">
        <v>84</v>
      </c>
      <c r="AL194" s="30">
        <v>3</v>
      </c>
      <c r="AM194" s="23" t="s">
        <v>77</v>
      </c>
      <c r="AN194" s="31" t="s">
        <v>221</v>
      </c>
      <c r="AO194" s="23" t="s">
        <v>85</v>
      </c>
      <c r="AP194" s="23" t="s">
        <v>71</v>
      </c>
      <c r="AQ194" s="34">
        <v>6524</v>
      </c>
      <c r="AR194" s="23" t="s">
        <v>78</v>
      </c>
      <c r="AS194" s="23">
        <v>65</v>
      </c>
      <c r="AT194" s="23">
        <v>24</v>
      </c>
      <c r="AU194" s="23">
        <v>0</v>
      </c>
    </row>
    <row r="195" spans="1:47">
      <c r="A195" s="26" t="s">
        <v>74</v>
      </c>
      <c r="B195" s="23" t="s">
        <v>77</v>
      </c>
      <c r="C195" s="23">
        <v>4</v>
      </c>
      <c r="D195" s="23"/>
      <c r="E195" s="23" t="s">
        <v>60</v>
      </c>
      <c r="F195" s="23" t="s">
        <v>9</v>
      </c>
      <c r="G195" s="27">
        <v>2016</v>
      </c>
      <c r="H195" s="27">
        <v>20</v>
      </c>
      <c r="I195" s="27">
        <v>25</v>
      </c>
      <c r="J195" s="27">
        <v>20</v>
      </c>
      <c r="K195" s="27">
        <v>14</v>
      </c>
      <c r="L195" s="27">
        <v>14</v>
      </c>
      <c r="M195" s="27">
        <v>14</v>
      </c>
      <c r="N195" s="27">
        <v>14</v>
      </c>
      <c r="O195" s="27"/>
      <c r="P195" s="28">
        <v>56</v>
      </c>
      <c r="Q195" s="28">
        <v>30.520000000000003</v>
      </c>
      <c r="R195" s="28">
        <v>42.74</v>
      </c>
      <c r="S195" s="27">
        <v>75</v>
      </c>
      <c r="T195" s="29">
        <v>360.40000000000003</v>
      </c>
      <c r="U195" s="27">
        <v>265</v>
      </c>
      <c r="V195" s="27">
        <v>17</v>
      </c>
      <c r="W195" s="27">
        <v>150</v>
      </c>
      <c r="X195" s="29">
        <v>200</v>
      </c>
      <c r="Y195" s="27" t="s">
        <v>102</v>
      </c>
      <c r="Z195" s="27" t="s">
        <v>102</v>
      </c>
      <c r="AA195" s="29">
        <v>3</v>
      </c>
      <c r="AB195" s="29">
        <v>8</v>
      </c>
      <c r="AC195" s="29">
        <v>8</v>
      </c>
      <c r="AD195" s="29" t="s">
        <v>386</v>
      </c>
      <c r="AE195" s="29" t="s">
        <v>386</v>
      </c>
      <c r="AF195" s="29" t="s">
        <v>386</v>
      </c>
      <c r="AG195" s="27">
        <v>11</v>
      </c>
      <c r="AH195" s="27">
        <v>8</v>
      </c>
      <c r="AI195" s="27">
        <v>0</v>
      </c>
      <c r="AJ195" s="23" t="s">
        <v>99</v>
      </c>
      <c r="AK195" s="23" t="s">
        <v>84</v>
      </c>
      <c r="AL195" s="30">
        <v>3</v>
      </c>
      <c r="AM195" s="23" t="s">
        <v>77</v>
      </c>
      <c r="AN195" s="31" t="s">
        <v>221</v>
      </c>
      <c r="AO195" s="23" t="s">
        <v>85</v>
      </c>
      <c r="AP195" s="23" t="s">
        <v>71</v>
      </c>
      <c r="AQ195" s="34">
        <v>6524.01</v>
      </c>
      <c r="AR195" s="23" t="s">
        <v>78</v>
      </c>
      <c r="AS195" s="23">
        <v>65</v>
      </c>
      <c r="AT195" s="23">
        <v>24</v>
      </c>
      <c r="AU195" s="23">
        <v>1</v>
      </c>
    </row>
    <row r="196" spans="1:47">
      <c r="A196" s="26" t="s">
        <v>62</v>
      </c>
      <c r="B196" s="23" t="s">
        <v>56</v>
      </c>
      <c r="C196" s="23">
        <v>3</v>
      </c>
      <c r="D196" s="23"/>
      <c r="E196" s="23" t="s">
        <v>60</v>
      </c>
      <c r="F196" s="23" t="s">
        <v>10</v>
      </c>
      <c r="G196" s="27">
        <v>2013</v>
      </c>
      <c r="H196" s="27">
        <v>20</v>
      </c>
      <c r="I196" s="27">
        <v>25</v>
      </c>
      <c r="J196" s="27">
        <v>20</v>
      </c>
      <c r="K196" s="27">
        <v>14</v>
      </c>
      <c r="L196" s="27">
        <v>14</v>
      </c>
      <c r="M196" s="27">
        <v>5</v>
      </c>
      <c r="N196" s="27"/>
      <c r="O196" s="27"/>
      <c r="P196" s="28">
        <v>33</v>
      </c>
      <c r="Q196" s="28">
        <v>26.037142857142857</v>
      </c>
      <c r="R196" s="28">
        <v>39.62380952380952</v>
      </c>
      <c r="S196" s="27">
        <v>80</v>
      </c>
      <c r="T196" s="29">
        <v>353.6</v>
      </c>
      <c r="U196" s="27">
        <v>260</v>
      </c>
      <c r="V196" s="27">
        <v>12</v>
      </c>
      <c r="W196" s="27">
        <v>106</v>
      </c>
      <c r="X196" s="29">
        <v>200</v>
      </c>
      <c r="Y196" s="27" t="s">
        <v>69</v>
      </c>
      <c r="Z196" s="27" t="s">
        <v>69</v>
      </c>
      <c r="AA196" s="29">
        <v>5</v>
      </c>
      <c r="AB196" s="29">
        <v>8</v>
      </c>
      <c r="AC196" s="29" t="s">
        <v>386</v>
      </c>
      <c r="AD196" s="29" t="s">
        <v>386</v>
      </c>
      <c r="AE196" s="29" t="s">
        <v>386</v>
      </c>
      <c r="AF196" s="29" t="s">
        <v>386</v>
      </c>
      <c r="AG196" s="27">
        <v>13</v>
      </c>
      <c r="AH196" s="27">
        <v>0</v>
      </c>
      <c r="AI196" s="27">
        <v>0</v>
      </c>
      <c r="AJ196" s="23" t="s">
        <v>59</v>
      </c>
      <c r="AK196" s="23" t="s">
        <v>63</v>
      </c>
      <c r="AL196" s="30" t="s">
        <v>64</v>
      </c>
      <c r="AM196" s="23" t="s">
        <v>56</v>
      </c>
      <c r="AN196" s="31" t="s">
        <v>220</v>
      </c>
      <c r="AO196" s="23" t="s">
        <v>66</v>
      </c>
      <c r="AP196" s="23" t="s">
        <v>72</v>
      </c>
      <c r="AQ196" s="34">
        <v>6620</v>
      </c>
      <c r="AR196" s="23" t="s">
        <v>78</v>
      </c>
      <c r="AS196" s="23">
        <v>66</v>
      </c>
      <c r="AT196" s="23">
        <v>20</v>
      </c>
      <c r="AU196" s="23">
        <v>0</v>
      </c>
    </row>
    <row r="197" spans="1:47">
      <c r="A197" s="26" t="s">
        <v>62</v>
      </c>
      <c r="B197" s="23" t="s">
        <v>56</v>
      </c>
      <c r="C197" s="23">
        <v>3</v>
      </c>
      <c r="D197" s="23"/>
      <c r="E197" s="23" t="s">
        <v>60</v>
      </c>
      <c r="F197" s="23" t="s">
        <v>10</v>
      </c>
      <c r="G197" s="27">
        <v>2013</v>
      </c>
      <c r="H197" s="27">
        <v>20</v>
      </c>
      <c r="I197" s="27">
        <v>25</v>
      </c>
      <c r="J197" s="27">
        <v>20</v>
      </c>
      <c r="K197" s="27">
        <v>14</v>
      </c>
      <c r="L197" s="27">
        <v>14</v>
      </c>
      <c r="M197" s="27">
        <v>5</v>
      </c>
      <c r="N197" s="27"/>
      <c r="O197" s="27"/>
      <c r="P197" s="28">
        <v>33</v>
      </c>
      <c r="Q197" s="28">
        <v>26.037142857142857</v>
      </c>
      <c r="R197" s="28">
        <v>39.62380952380952</v>
      </c>
      <c r="S197" s="27">
        <v>80</v>
      </c>
      <c r="T197" s="29">
        <v>353.6</v>
      </c>
      <c r="U197" s="27">
        <v>260</v>
      </c>
      <c r="V197" s="27">
        <v>12</v>
      </c>
      <c r="W197" s="27">
        <v>106</v>
      </c>
      <c r="X197" s="29">
        <v>200</v>
      </c>
      <c r="Y197" s="27" t="s">
        <v>102</v>
      </c>
      <c r="Z197" s="27" t="s">
        <v>102</v>
      </c>
      <c r="AA197" s="29">
        <v>5</v>
      </c>
      <c r="AB197" s="29">
        <v>8</v>
      </c>
      <c r="AC197" s="29" t="s">
        <v>386</v>
      </c>
      <c r="AD197" s="29" t="s">
        <v>386</v>
      </c>
      <c r="AE197" s="29" t="s">
        <v>386</v>
      </c>
      <c r="AF197" s="29" t="s">
        <v>386</v>
      </c>
      <c r="AG197" s="27">
        <v>13</v>
      </c>
      <c r="AH197" s="27">
        <v>0</v>
      </c>
      <c r="AI197" s="27">
        <v>0</v>
      </c>
      <c r="AJ197" s="23" t="s">
        <v>59</v>
      </c>
      <c r="AK197" s="23" t="s">
        <v>63</v>
      </c>
      <c r="AL197" s="30" t="s">
        <v>64</v>
      </c>
      <c r="AM197" s="23" t="s">
        <v>56</v>
      </c>
      <c r="AN197" s="31" t="s">
        <v>220</v>
      </c>
      <c r="AO197" s="23" t="s">
        <v>66</v>
      </c>
      <c r="AP197" s="23" t="s">
        <v>72</v>
      </c>
      <c r="AQ197" s="34">
        <v>6620.01</v>
      </c>
      <c r="AR197" s="23" t="s">
        <v>78</v>
      </c>
      <c r="AS197" s="23">
        <v>66</v>
      </c>
      <c r="AT197" s="23">
        <v>20</v>
      </c>
      <c r="AU197" s="23">
        <v>1</v>
      </c>
    </row>
    <row r="198" spans="1:47">
      <c r="A198" s="26" t="s">
        <v>62</v>
      </c>
      <c r="B198" s="23" t="s">
        <v>56</v>
      </c>
      <c r="C198" s="23">
        <v>2</v>
      </c>
      <c r="D198" s="23"/>
      <c r="E198" s="23" t="s">
        <v>60</v>
      </c>
      <c r="F198" s="23" t="s">
        <v>18</v>
      </c>
      <c r="G198" s="27">
        <v>2013</v>
      </c>
      <c r="H198" s="27">
        <v>20</v>
      </c>
      <c r="I198" s="27">
        <v>25</v>
      </c>
      <c r="J198" s="27">
        <v>20</v>
      </c>
      <c r="K198" s="27">
        <v>14</v>
      </c>
      <c r="L198" s="27">
        <v>14</v>
      </c>
      <c r="M198" s="27"/>
      <c r="N198" s="27"/>
      <c r="O198" s="27"/>
      <c r="P198" s="28">
        <v>28</v>
      </c>
      <c r="Q198" s="28">
        <v>25.68</v>
      </c>
      <c r="R198" s="28">
        <v>39.266666666666666</v>
      </c>
      <c r="S198" s="27">
        <v>80</v>
      </c>
      <c r="T198" s="29">
        <v>353.6</v>
      </c>
      <c r="U198" s="27">
        <v>260</v>
      </c>
      <c r="V198" s="27">
        <v>12</v>
      </c>
      <c r="W198" s="27">
        <v>106</v>
      </c>
      <c r="X198" s="29">
        <v>200</v>
      </c>
      <c r="Y198" s="27" t="s">
        <v>69</v>
      </c>
      <c r="Z198" s="27" t="s">
        <v>69</v>
      </c>
      <c r="AA198" s="29">
        <v>5</v>
      </c>
      <c r="AB198" s="29">
        <v>8</v>
      </c>
      <c r="AC198" s="29" t="s">
        <v>386</v>
      </c>
      <c r="AD198" s="29" t="s">
        <v>386</v>
      </c>
      <c r="AE198" s="29" t="s">
        <v>386</v>
      </c>
      <c r="AF198" s="29" t="s">
        <v>386</v>
      </c>
      <c r="AG198" s="27">
        <v>13</v>
      </c>
      <c r="AH198" s="27">
        <v>0</v>
      </c>
      <c r="AI198" s="27">
        <v>0</v>
      </c>
      <c r="AJ198" s="23" t="s">
        <v>59</v>
      </c>
      <c r="AK198" s="23" t="s">
        <v>63</v>
      </c>
      <c r="AL198" s="30" t="s">
        <v>64</v>
      </c>
      <c r="AM198" s="23" t="s">
        <v>56</v>
      </c>
      <c r="AN198" s="31" t="s">
        <v>219</v>
      </c>
      <c r="AO198" s="23" t="s">
        <v>66</v>
      </c>
      <c r="AP198" s="23" t="s">
        <v>72</v>
      </c>
      <c r="AQ198" s="34">
        <v>6621</v>
      </c>
      <c r="AR198" s="23" t="s">
        <v>78</v>
      </c>
      <c r="AS198" s="23">
        <v>66</v>
      </c>
      <c r="AT198" s="23">
        <v>21</v>
      </c>
      <c r="AU198" s="23">
        <v>0</v>
      </c>
    </row>
    <row r="199" spans="1:47">
      <c r="A199" s="26" t="s">
        <v>62</v>
      </c>
      <c r="B199" s="23" t="s">
        <v>56</v>
      </c>
      <c r="C199" s="23">
        <v>2</v>
      </c>
      <c r="D199" s="23"/>
      <c r="E199" s="23" t="s">
        <v>60</v>
      </c>
      <c r="F199" s="23" t="s">
        <v>18</v>
      </c>
      <c r="G199" s="27">
        <v>2013</v>
      </c>
      <c r="H199" s="27">
        <v>20</v>
      </c>
      <c r="I199" s="27">
        <v>25</v>
      </c>
      <c r="J199" s="27">
        <v>20</v>
      </c>
      <c r="K199" s="27">
        <v>14</v>
      </c>
      <c r="L199" s="27">
        <v>14</v>
      </c>
      <c r="M199" s="27"/>
      <c r="N199" s="27"/>
      <c r="O199" s="27"/>
      <c r="P199" s="28">
        <v>28</v>
      </c>
      <c r="Q199" s="28">
        <v>25.68</v>
      </c>
      <c r="R199" s="28">
        <v>39.266666666666666</v>
      </c>
      <c r="S199" s="27">
        <v>80</v>
      </c>
      <c r="T199" s="29">
        <v>353.6</v>
      </c>
      <c r="U199" s="27">
        <v>260</v>
      </c>
      <c r="V199" s="27">
        <v>12</v>
      </c>
      <c r="W199" s="27">
        <v>106</v>
      </c>
      <c r="X199" s="29">
        <v>200</v>
      </c>
      <c r="Y199" s="27" t="s">
        <v>102</v>
      </c>
      <c r="Z199" s="27" t="s">
        <v>102</v>
      </c>
      <c r="AA199" s="29">
        <v>5</v>
      </c>
      <c r="AB199" s="29">
        <v>8</v>
      </c>
      <c r="AC199" s="29" t="s">
        <v>386</v>
      </c>
      <c r="AD199" s="29" t="s">
        <v>386</v>
      </c>
      <c r="AE199" s="29" t="s">
        <v>386</v>
      </c>
      <c r="AF199" s="29" t="s">
        <v>386</v>
      </c>
      <c r="AG199" s="27">
        <v>13</v>
      </c>
      <c r="AH199" s="27">
        <v>0</v>
      </c>
      <c r="AI199" s="27">
        <v>0</v>
      </c>
      <c r="AJ199" s="23" t="s">
        <v>59</v>
      </c>
      <c r="AK199" s="23" t="s">
        <v>63</v>
      </c>
      <c r="AL199" s="30" t="s">
        <v>64</v>
      </c>
      <c r="AM199" s="23" t="s">
        <v>56</v>
      </c>
      <c r="AN199" s="31" t="s">
        <v>219</v>
      </c>
      <c r="AO199" s="23" t="s">
        <v>66</v>
      </c>
      <c r="AP199" s="23" t="s">
        <v>72</v>
      </c>
      <c r="AQ199" s="34">
        <v>6621.01</v>
      </c>
      <c r="AR199" s="23" t="s">
        <v>78</v>
      </c>
      <c r="AS199" s="23">
        <v>66</v>
      </c>
      <c r="AT199" s="23">
        <v>21</v>
      </c>
      <c r="AU199" s="23">
        <v>1</v>
      </c>
    </row>
    <row r="200" spans="1:47">
      <c r="A200" s="26" t="s">
        <v>62</v>
      </c>
      <c r="B200" s="23" t="s">
        <v>80</v>
      </c>
      <c r="C200" s="23">
        <v>2</v>
      </c>
      <c r="D200" s="23"/>
      <c r="E200" s="23" t="s">
        <v>60</v>
      </c>
      <c r="F200" s="23" t="s">
        <v>15</v>
      </c>
      <c r="G200" s="27">
        <v>2012</v>
      </c>
      <c r="H200" s="27">
        <v>20</v>
      </c>
      <c r="I200" s="27">
        <v>25</v>
      </c>
      <c r="J200" s="27">
        <v>20</v>
      </c>
      <c r="K200" s="27">
        <v>5</v>
      </c>
      <c r="L200" s="27">
        <v>14</v>
      </c>
      <c r="M200" s="27"/>
      <c r="N200" s="27"/>
      <c r="O200" s="27"/>
      <c r="P200" s="28">
        <v>19</v>
      </c>
      <c r="Q200" s="28">
        <v>25.037142857142857</v>
      </c>
      <c r="R200" s="28">
        <v>38.463809523809523</v>
      </c>
      <c r="S200" s="27">
        <v>95</v>
      </c>
      <c r="T200" s="29">
        <v>353.6</v>
      </c>
      <c r="U200" s="27">
        <v>260</v>
      </c>
      <c r="V200" s="27">
        <v>12</v>
      </c>
      <c r="W200" s="27">
        <v>82</v>
      </c>
      <c r="X200" s="29">
        <v>185</v>
      </c>
      <c r="Y200" s="27" t="s">
        <v>69</v>
      </c>
      <c r="Z200" s="27" t="s">
        <v>69</v>
      </c>
      <c r="AA200" s="29">
        <v>5</v>
      </c>
      <c r="AB200" s="29">
        <v>8</v>
      </c>
      <c r="AC200" s="29" t="s">
        <v>386</v>
      </c>
      <c r="AD200" s="29" t="s">
        <v>386</v>
      </c>
      <c r="AE200" s="29" t="s">
        <v>386</v>
      </c>
      <c r="AF200" s="29" t="s">
        <v>386</v>
      </c>
      <c r="AG200" s="27">
        <v>13</v>
      </c>
      <c r="AH200" s="27">
        <v>0</v>
      </c>
      <c r="AI200" s="27">
        <v>0</v>
      </c>
      <c r="AJ200" s="23" t="s">
        <v>59</v>
      </c>
      <c r="AK200" s="23" t="s">
        <v>63</v>
      </c>
      <c r="AL200" s="30" t="s">
        <v>64</v>
      </c>
      <c r="AM200" s="23" t="s">
        <v>80</v>
      </c>
      <c r="AN200" s="31" t="s">
        <v>219</v>
      </c>
      <c r="AO200" s="23" t="s">
        <v>66</v>
      </c>
      <c r="AP200" s="23" t="s">
        <v>89</v>
      </c>
      <c r="AQ200" s="34">
        <v>6720</v>
      </c>
      <c r="AR200" s="23" t="s">
        <v>78</v>
      </c>
      <c r="AS200" s="23">
        <v>67</v>
      </c>
      <c r="AT200" s="23">
        <v>20</v>
      </c>
      <c r="AU200" s="23">
        <v>0</v>
      </c>
    </row>
    <row r="201" spans="1:47">
      <c r="A201" s="26" t="s">
        <v>62</v>
      </c>
      <c r="B201" s="23" t="s">
        <v>80</v>
      </c>
      <c r="C201" s="23">
        <v>2</v>
      </c>
      <c r="D201" s="23"/>
      <c r="E201" s="23" t="s">
        <v>60</v>
      </c>
      <c r="F201" s="23" t="s">
        <v>15</v>
      </c>
      <c r="G201" s="27">
        <v>2012</v>
      </c>
      <c r="H201" s="27">
        <v>20</v>
      </c>
      <c r="I201" s="27">
        <v>25</v>
      </c>
      <c r="J201" s="27">
        <v>20</v>
      </c>
      <c r="K201" s="27">
        <v>5</v>
      </c>
      <c r="L201" s="27">
        <v>14</v>
      </c>
      <c r="M201" s="27"/>
      <c r="N201" s="27"/>
      <c r="O201" s="27"/>
      <c r="P201" s="28">
        <v>19</v>
      </c>
      <c r="Q201" s="28">
        <v>25.037142857142857</v>
      </c>
      <c r="R201" s="28">
        <v>38.463809523809523</v>
      </c>
      <c r="S201" s="27">
        <v>95</v>
      </c>
      <c r="T201" s="29">
        <v>353.6</v>
      </c>
      <c r="U201" s="27">
        <v>260</v>
      </c>
      <c r="V201" s="27">
        <v>12</v>
      </c>
      <c r="W201" s="27">
        <v>82</v>
      </c>
      <c r="X201" s="29">
        <v>185</v>
      </c>
      <c r="Y201" s="27" t="s">
        <v>102</v>
      </c>
      <c r="Z201" s="27" t="s">
        <v>102</v>
      </c>
      <c r="AA201" s="29">
        <v>5</v>
      </c>
      <c r="AB201" s="29">
        <v>8</v>
      </c>
      <c r="AC201" s="29" t="s">
        <v>386</v>
      </c>
      <c r="AD201" s="29" t="s">
        <v>386</v>
      </c>
      <c r="AE201" s="29" t="s">
        <v>386</v>
      </c>
      <c r="AF201" s="29" t="s">
        <v>386</v>
      </c>
      <c r="AG201" s="27">
        <v>13</v>
      </c>
      <c r="AH201" s="27">
        <v>0</v>
      </c>
      <c r="AI201" s="27">
        <v>0</v>
      </c>
      <c r="AJ201" s="23" t="s">
        <v>59</v>
      </c>
      <c r="AK201" s="23" t="s">
        <v>63</v>
      </c>
      <c r="AL201" s="30" t="s">
        <v>64</v>
      </c>
      <c r="AM201" s="23" t="s">
        <v>80</v>
      </c>
      <c r="AN201" s="31" t="s">
        <v>219</v>
      </c>
      <c r="AO201" s="23" t="s">
        <v>66</v>
      </c>
      <c r="AP201" s="23" t="s">
        <v>89</v>
      </c>
      <c r="AQ201" s="34">
        <v>6720.01</v>
      </c>
      <c r="AR201" s="23" t="s">
        <v>78</v>
      </c>
      <c r="AS201" s="23">
        <v>67</v>
      </c>
      <c r="AT201" s="23">
        <v>20</v>
      </c>
      <c r="AU201" s="23">
        <v>1</v>
      </c>
    </row>
    <row r="202" spans="1:47">
      <c r="A202" s="26" t="s">
        <v>62</v>
      </c>
      <c r="B202" s="23" t="s">
        <v>81</v>
      </c>
      <c r="C202" s="23">
        <v>2</v>
      </c>
      <c r="D202" s="23"/>
      <c r="E202" s="23" t="s">
        <v>60</v>
      </c>
      <c r="F202" s="23" t="s">
        <v>16</v>
      </c>
      <c r="G202" s="27">
        <v>2013</v>
      </c>
      <c r="H202" s="27">
        <v>20</v>
      </c>
      <c r="I202" s="27">
        <v>25</v>
      </c>
      <c r="J202" s="27">
        <v>20</v>
      </c>
      <c r="K202" s="27">
        <v>5</v>
      </c>
      <c r="L202" s="27">
        <v>14</v>
      </c>
      <c r="M202" s="27"/>
      <c r="N202" s="27"/>
      <c r="O202" s="27"/>
      <c r="P202" s="28">
        <v>19</v>
      </c>
      <c r="Q202" s="28">
        <v>25.037142857142857</v>
      </c>
      <c r="R202" s="28">
        <v>38.477142857142859</v>
      </c>
      <c r="S202" s="27">
        <v>100</v>
      </c>
      <c r="T202" s="29">
        <v>353.6</v>
      </c>
      <c r="U202" s="27">
        <v>260</v>
      </c>
      <c r="V202" s="27">
        <v>12</v>
      </c>
      <c r="W202" s="27">
        <v>84</v>
      </c>
      <c r="X202" s="29">
        <v>185</v>
      </c>
      <c r="Y202" s="27" t="s">
        <v>69</v>
      </c>
      <c r="Z202" s="27" t="s">
        <v>69</v>
      </c>
      <c r="AA202" s="29">
        <v>5</v>
      </c>
      <c r="AB202" s="29">
        <v>8</v>
      </c>
      <c r="AC202" s="29" t="s">
        <v>386</v>
      </c>
      <c r="AD202" s="29" t="s">
        <v>386</v>
      </c>
      <c r="AE202" s="29" t="s">
        <v>386</v>
      </c>
      <c r="AF202" s="29" t="s">
        <v>386</v>
      </c>
      <c r="AG202" s="27">
        <v>13</v>
      </c>
      <c r="AH202" s="27">
        <v>0</v>
      </c>
      <c r="AI202" s="27">
        <v>0</v>
      </c>
      <c r="AJ202" s="23" t="s">
        <v>59</v>
      </c>
      <c r="AK202" s="23" t="s">
        <v>63</v>
      </c>
      <c r="AL202" s="30" t="s">
        <v>64</v>
      </c>
      <c r="AM202" s="23" t="s">
        <v>81</v>
      </c>
      <c r="AN202" s="31" t="s">
        <v>219</v>
      </c>
      <c r="AO202" s="23" t="s">
        <v>66</v>
      </c>
      <c r="AP202" s="23" t="s">
        <v>89</v>
      </c>
      <c r="AQ202" s="34">
        <v>6721</v>
      </c>
      <c r="AR202" s="23" t="s">
        <v>78</v>
      </c>
      <c r="AS202" s="23">
        <v>67</v>
      </c>
      <c r="AT202" s="23">
        <v>21</v>
      </c>
      <c r="AU202" s="23">
        <v>0</v>
      </c>
    </row>
    <row r="203" spans="1:47">
      <c r="A203" s="26" t="s">
        <v>62</v>
      </c>
      <c r="B203" s="23" t="s">
        <v>81</v>
      </c>
      <c r="C203" s="23">
        <v>2</v>
      </c>
      <c r="D203" s="23"/>
      <c r="E203" s="23" t="s">
        <v>60</v>
      </c>
      <c r="F203" s="23" t="s">
        <v>16</v>
      </c>
      <c r="G203" s="27">
        <v>2013</v>
      </c>
      <c r="H203" s="27">
        <v>20</v>
      </c>
      <c r="I203" s="27">
        <v>25</v>
      </c>
      <c r="J203" s="27">
        <v>20</v>
      </c>
      <c r="K203" s="27">
        <v>5</v>
      </c>
      <c r="L203" s="27">
        <v>14</v>
      </c>
      <c r="M203" s="27"/>
      <c r="N203" s="27"/>
      <c r="O203" s="27"/>
      <c r="P203" s="28">
        <v>19</v>
      </c>
      <c r="Q203" s="28">
        <v>25.037142857142857</v>
      </c>
      <c r="R203" s="28">
        <v>38.477142857142859</v>
      </c>
      <c r="S203" s="27">
        <v>100</v>
      </c>
      <c r="T203" s="29">
        <v>353.6</v>
      </c>
      <c r="U203" s="27">
        <v>260</v>
      </c>
      <c r="V203" s="27">
        <v>12</v>
      </c>
      <c r="W203" s="27">
        <v>84</v>
      </c>
      <c r="X203" s="29">
        <v>185</v>
      </c>
      <c r="Y203" s="27" t="s">
        <v>102</v>
      </c>
      <c r="Z203" s="27" t="s">
        <v>102</v>
      </c>
      <c r="AA203" s="29">
        <v>5</v>
      </c>
      <c r="AB203" s="29">
        <v>8</v>
      </c>
      <c r="AC203" s="29" t="s">
        <v>386</v>
      </c>
      <c r="AD203" s="29" t="s">
        <v>386</v>
      </c>
      <c r="AE203" s="29" t="s">
        <v>386</v>
      </c>
      <c r="AF203" s="29" t="s">
        <v>386</v>
      </c>
      <c r="AG203" s="27">
        <v>13</v>
      </c>
      <c r="AH203" s="27">
        <v>0</v>
      </c>
      <c r="AI203" s="27">
        <v>0</v>
      </c>
      <c r="AJ203" s="23" t="s">
        <v>59</v>
      </c>
      <c r="AK203" s="23" t="s">
        <v>63</v>
      </c>
      <c r="AL203" s="30" t="s">
        <v>64</v>
      </c>
      <c r="AM203" s="23" t="s">
        <v>81</v>
      </c>
      <c r="AN203" s="31" t="s">
        <v>219</v>
      </c>
      <c r="AO203" s="23" t="s">
        <v>66</v>
      </c>
      <c r="AP203" s="23" t="s">
        <v>89</v>
      </c>
      <c r="AQ203" s="34">
        <v>6721.01</v>
      </c>
      <c r="AR203" s="23" t="s">
        <v>78</v>
      </c>
      <c r="AS203" s="23">
        <v>67</v>
      </c>
      <c r="AT203" s="23">
        <v>21</v>
      </c>
      <c r="AU203" s="23">
        <v>1</v>
      </c>
    </row>
    <row r="204" spans="1:47">
      <c r="A204" s="26" t="s">
        <v>62</v>
      </c>
      <c r="B204" s="23" t="s">
        <v>82</v>
      </c>
      <c r="C204" s="23">
        <v>3</v>
      </c>
      <c r="D204" s="23"/>
      <c r="E204" s="23" t="s">
        <v>60</v>
      </c>
      <c r="F204" s="23" t="s">
        <v>27</v>
      </c>
      <c r="G204" s="27">
        <v>2013</v>
      </c>
      <c r="H204" s="27">
        <v>20</v>
      </c>
      <c r="I204" s="27">
        <v>25</v>
      </c>
      <c r="J204" s="27">
        <v>20</v>
      </c>
      <c r="K204" s="27">
        <v>7</v>
      </c>
      <c r="L204" s="27">
        <v>14</v>
      </c>
      <c r="M204" s="27">
        <v>5</v>
      </c>
      <c r="N204" s="27"/>
      <c r="O204" s="27"/>
      <c r="P204" s="28">
        <v>26</v>
      </c>
      <c r="Q204" s="28">
        <v>26.037142857142857</v>
      </c>
      <c r="R204" s="28">
        <v>39.130476190476188</v>
      </c>
      <c r="S204" s="27">
        <v>100</v>
      </c>
      <c r="T204" s="29">
        <v>353.6</v>
      </c>
      <c r="U204" s="27">
        <v>260</v>
      </c>
      <c r="V204" s="27">
        <v>13</v>
      </c>
      <c r="W204" s="27">
        <v>92</v>
      </c>
      <c r="X204" s="29">
        <v>185</v>
      </c>
      <c r="Y204" s="27" t="s">
        <v>69</v>
      </c>
      <c r="Z204" s="27" t="s">
        <v>69</v>
      </c>
      <c r="AA204" s="29">
        <v>6</v>
      </c>
      <c r="AB204" s="29">
        <v>8</v>
      </c>
      <c r="AC204" s="29" t="s">
        <v>386</v>
      </c>
      <c r="AD204" s="29" t="s">
        <v>386</v>
      </c>
      <c r="AE204" s="29" t="s">
        <v>386</v>
      </c>
      <c r="AF204" s="29" t="s">
        <v>386</v>
      </c>
      <c r="AG204" s="27">
        <v>14</v>
      </c>
      <c r="AH204" s="27">
        <v>0</v>
      </c>
      <c r="AI204" s="27">
        <v>0</v>
      </c>
      <c r="AJ204" s="23" t="s">
        <v>59</v>
      </c>
      <c r="AK204" s="23" t="s">
        <v>63</v>
      </c>
      <c r="AL204" s="30" t="s">
        <v>64</v>
      </c>
      <c r="AM204" s="23" t="s">
        <v>82</v>
      </c>
      <c r="AN204" s="31" t="s">
        <v>220</v>
      </c>
      <c r="AO204" s="23" t="s">
        <v>88</v>
      </c>
      <c r="AP204" s="23" t="s">
        <v>89</v>
      </c>
      <c r="AQ204" s="34">
        <v>6722</v>
      </c>
      <c r="AR204" s="23" t="s">
        <v>78</v>
      </c>
      <c r="AS204" s="23">
        <v>67</v>
      </c>
      <c r="AT204" s="23">
        <v>22</v>
      </c>
      <c r="AU204" s="23">
        <v>0</v>
      </c>
    </row>
    <row r="205" spans="1:47">
      <c r="A205" s="26" t="s">
        <v>62</v>
      </c>
      <c r="B205" s="23" t="s">
        <v>82</v>
      </c>
      <c r="C205" s="23">
        <v>3</v>
      </c>
      <c r="D205" s="23"/>
      <c r="E205" s="23" t="s">
        <v>60</v>
      </c>
      <c r="F205" s="23" t="s">
        <v>27</v>
      </c>
      <c r="G205" s="27">
        <v>2013</v>
      </c>
      <c r="H205" s="27">
        <v>20</v>
      </c>
      <c r="I205" s="27">
        <v>25</v>
      </c>
      <c r="J205" s="27">
        <v>20</v>
      </c>
      <c r="K205" s="27">
        <v>7</v>
      </c>
      <c r="L205" s="27">
        <v>14</v>
      </c>
      <c r="M205" s="27">
        <v>5</v>
      </c>
      <c r="N205" s="27"/>
      <c r="O205" s="27"/>
      <c r="P205" s="28">
        <v>26</v>
      </c>
      <c r="Q205" s="28">
        <v>26.037142857142857</v>
      </c>
      <c r="R205" s="28">
        <v>39.130476190476188</v>
      </c>
      <c r="S205" s="27">
        <v>100</v>
      </c>
      <c r="T205" s="29">
        <v>353.6</v>
      </c>
      <c r="U205" s="27">
        <v>260</v>
      </c>
      <c r="V205" s="27">
        <v>13</v>
      </c>
      <c r="W205" s="27">
        <v>92</v>
      </c>
      <c r="X205" s="29">
        <v>185</v>
      </c>
      <c r="Y205" s="27" t="s">
        <v>102</v>
      </c>
      <c r="Z205" s="27" t="s">
        <v>102</v>
      </c>
      <c r="AA205" s="29">
        <v>6</v>
      </c>
      <c r="AB205" s="29">
        <v>8</v>
      </c>
      <c r="AC205" s="29" t="s">
        <v>386</v>
      </c>
      <c r="AD205" s="29" t="s">
        <v>386</v>
      </c>
      <c r="AE205" s="29" t="s">
        <v>386</v>
      </c>
      <c r="AF205" s="29" t="s">
        <v>386</v>
      </c>
      <c r="AG205" s="27">
        <v>14</v>
      </c>
      <c r="AH205" s="27">
        <v>0</v>
      </c>
      <c r="AI205" s="27">
        <v>0</v>
      </c>
      <c r="AJ205" s="23" t="s">
        <v>59</v>
      </c>
      <c r="AK205" s="23" t="s">
        <v>63</v>
      </c>
      <c r="AL205" s="30" t="s">
        <v>64</v>
      </c>
      <c r="AM205" s="23" t="s">
        <v>82</v>
      </c>
      <c r="AN205" s="31" t="s">
        <v>220</v>
      </c>
      <c r="AO205" s="23" t="s">
        <v>88</v>
      </c>
      <c r="AP205" s="23" t="s">
        <v>89</v>
      </c>
      <c r="AQ205" s="34">
        <v>6722.01</v>
      </c>
      <c r="AR205" s="23" t="s">
        <v>78</v>
      </c>
      <c r="AS205" s="23">
        <v>67</v>
      </c>
      <c r="AT205" s="23">
        <v>22</v>
      </c>
      <c r="AU205" s="23">
        <v>1</v>
      </c>
    </row>
    <row r="206" spans="1:47">
      <c r="A206" s="26" t="s">
        <v>62</v>
      </c>
      <c r="B206" s="23" t="s">
        <v>82</v>
      </c>
      <c r="C206" s="23">
        <v>2</v>
      </c>
      <c r="D206" s="23"/>
      <c r="E206" s="23" t="s">
        <v>60</v>
      </c>
      <c r="F206" s="23" t="s">
        <v>28</v>
      </c>
      <c r="G206" s="27">
        <v>2013</v>
      </c>
      <c r="H206" s="27">
        <v>20</v>
      </c>
      <c r="I206" s="27">
        <v>25</v>
      </c>
      <c r="J206" s="27">
        <v>20</v>
      </c>
      <c r="K206" s="27">
        <v>7</v>
      </c>
      <c r="L206" s="27">
        <v>14</v>
      </c>
      <c r="M206" s="27"/>
      <c r="N206" s="27"/>
      <c r="O206" s="27"/>
      <c r="P206" s="28">
        <v>21</v>
      </c>
      <c r="Q206" s="28">
        <v>25.68</v>
      </c>
      <c r="R206" s="28">
        <v>38.786666666666669</v>
      </c>
      <c r="S206" s="27">
        <v>100</v>
      </c>
      <c r="T206" s="29">
        <v>353.6</v>
      </c>
      <c r="U206" s="27">
        <v>260</v>
      </c>
      <c r="V206" s="27">
        <v>13</v>
      </c>
      <c r="W206" s="27">
        <v>94</v>
      </c>
      <c r="X206" s="29">
        <v>185</v>
      </c>
      <c r="Y206" s="27" t="s">
        <v>69</v>
      </c>
      <c r="Z206" s="27" t="s">
        <v>69</v>
      </c>
      <c r="AA206" s="29">
        <v>6</v>
      </c>
      <c r="AB206" s="29">
        <v>8</v>
      </c>
      <c r="AC206" s="29" t="s">
        <v>386</v>
      </c>
      <c r="AD206" s="29" t="s">
        <v>386</v>
      </c>
      <c r="AE206" s="29" t="s">
        <v>386</v>
      </c>
      <c r="AF206" s="29" t="s">
        <v>386</v>
      </c>
      <c r="AG206" s="27">
        <v>14</v>
      </c>
      <c r="AH206" s="27">
        <v>0</v>
      </c>
      <c r="AI206" s="27">
        <v>0</v>
      </c>
      <c r="AJ206" s="23" t="s">
        <v>59</v>
      </c>
      <c r="AK206" s="23" t="s">
        <v>63</v>
      </c>
      <c r="AL206" s="30" t="s">
        <v>64</v>
      </c>
      <c r="AM206" s="23" t="s">
        <v>82</v>
      </c>
      <c r="AN206" s="31" t="s">
        <v>219</v>
      </c>
      <c r="AO206" s="23" t="s">
        <v>88</v>
      </c>
      <c r="AP206" s="23" t="s">
        <v>89</v>
      </c>
      <c r="AQ206" s="34">
        <v>6723</v>
      </c>
      <c r="AR206" s="23" t="s">
        <v>78</v>
      </c>
      <c r="AS206" s="23">
        <v>67</v>
      </c>
      <c r="AT206" s="23">
        <v>23</v>
      </c>
      <c r="AU206" s="23">
        <v>0</v>
      </c>
    </row>
    <row r="207" spans="1:47">
      <c r="A207" s="26" t="s">
        <v>62</v>
      </c>
      <c r="B207" s="23" t="s">
        <v>82</v>
      </c>
      <c r="C207" s="23">
        <v>2</v>
      </c>
      <c r="D207" s="23"/>
      <c r="E207" s="23" t="s">
        <v>60</v>
      </c>
      <c r="F207" s="23" t="s">
        <v>28</v>
      </c>
      <c r="G207" s="27">
        <v>2013</v>
      </c>
      <c r="H207" s="27">
        <v>20</v>
      </c>
      <c r="I207" s="27">
        <v>25</v>
      </c>
      <c r="J207" s="27">
        <v>20</v>
      </c>
      <c r="K207" s="27">
        <v>7</v>
      </c>
      <c r="L207" s="27">
        <v>14</v>
      </c>
      <c r="M207" s="27"/>
      <c r="N207" s="27"/>
      <c r="O207" s="27"/>
      <c r="P207" s="28">
        <v>21</v>
      </c>
      <c r="Q207" s="28">
        <v>25.68</v>
      </c>
      <c r="R207" s="28">
        <v>38.786666666666669</v>
      </c>
      <c r="S207" s="27">
        <v>100</v>
      </c>
      <c r="T207" s="29">
        <v>353.6</v>
      </c>
      <c r="U207" s="27">
        <v>260</v>
      </c>
      <c r="V207" s="27">
        <v>13</v>
      </c>
      <c r="W207" s="27">
        <v>94</v>
      </c>
      <c r="X207" s="29">
        <v>185</v>
      </c>
      <c r="Y207" s="27" t="s">
        <v>102</v>
      </c>
      <c r="Z207" s="27" t="s">
        <v>102</v>
      </c>
      <c r="AA207" s="29">
        <v>6</v>
      </c>
      <c r="AB207" s="29">
        <v>8</v>
      </c>
      <c r="AC207" s="29" t="s">
        <v>386</v>
      </c>
      <c r="AD207" s="29" t="s">
        <v>386</v>
      </c>
      <c r="AE207" s="29" t="s">
        <v>386</v>
      </c>
      <c r="AF207" s="29" t="s">
        <v>386</v>
      </c>
      <c r="AG207" s="27">
        <v>14</v>
      </c>
      <c r="AH207" s="27">
        <v>0</v>
      </c>
      <c r="AI207" s="27">
        <v>0</v>
      </c>
      <c r="AJ207" s="23" t="s">
        <v>59</v>
      </c>
      <c r="AK207" s="23" t="s">
        <v>63</v>
      </c>
      <c r="AL207" s="30" t="s">
        <v>64</v>
      </c>
      <c r="AM207" s="23" t="s">
        <v>82</v>
      </c>
      <c r="AN207" s="31" t="s">
        <v>219</v>
      </c>
      <c r="AO207" s="23" t="s">
        <v>88</v>
      </c>
      <c r="AP207" s="23" t="s">
        <v>89</v>
      </c>
      <c r="AQ207" s="34">
        <v>6723.01</v>
      </c>
      <c r="AR207" s="23" t="s">
        <v>78</v>
      </c>
      <c r="AS207" s="23">
        <v>67</v>
      </c>
      <c r="AT207" s="23">
        <v>23</v>
      </c>
      <c r="AU207" s="23">
        <v>1</v>
      </c>
    </row>
    <row r="208" spans="1:47">
      <c r="A208" s="26" t="s">
        <v>62</v>
      </c>
      <c r="B208" s="23" t="s">
        <v>83</v>
      </c>
      <c r="C208" s="23">
        <v>3</v>
      </c>
      <c r="D208" s="23"/>
      <c r="E208" s="23" t="s">
        <v>60</v>
      </c>
      <c r="F208" s="23" t="s">
        <v>17</v>
      </c>
      <c r="G208" s="27">
        <v>2012</v>
      </c>
      <c r="H208" s="27">
        <v>20</v>
      </c>
      <c r="I208" s="27">
        <v>25</v>
      </c>
      <c r="J208" s="27">
        <v>20</v>
      </c>
      <c r="K208" s="27">
        <v>5</v>
      </c>
      <c r="L208" s="27">
        <v>14</v>
      </c>
      <c r="M208" s="27">
        <v>14</v>
      </c>
      <c r="N208" s="27"/>
      <c r="O208" s="27"/>
      <c r="P208" s="28">
        <v>33</v>
      </c>
      <c r="Q208" s="28">
        <v>31.07714285714286</v>
      </c>
      <c r="R208" s="28">
        <v>44.44380952380952</v>
      </c>
      <c r="S208" s="27">
        <v>100</v>
      </c>
      <c r="T208" s="29">
        <v>394.40000000000003</v>
      </c>
      <c r="U208" s="27">
        <v>290</v>
      </c>
      <c r="V208" s="27">
        <v>18</v>
      </c>
      <c r="W208" s="27">
        <v>127</v>
      </c>
      <c r="X208" s="29">
        <v>185</v>
      </c>
      <c r="Y208" s="27" t="s">
        <v>69</v>
      </c>
      <c r="Z208" s="27" t="s">
        <v>69</v>
      </c>
      <c r="AA208" s="29">
        <v>3</v>
      </c>
      <c r="AB208" s="29">
        <v>8</v>
      </c>
      <c r="AC208" s="29">
        <v>8</v>
      </c>
      <c r="AD208" s="29" t="s">
        <v>386</v>
      </c>
      <c r="AE208" s="29" t="s">
        <v>386</v>
      </c>
      <c r="AF208" s="29" t="s">
        <v>386</v>
      </c>
      <c r="AG208" s="27">
        <v>11</v>
      </c>
      <c r="AH208" s="27">
        <v>8</v>
      </c>
      <c r="AI208" s="27">
        <v>0</v>
      </c>
      <c r="AJ208" s="23" t="s">
        <v>59</v>
      </c>
      <c r="AK208" s="23" t="s">
        <v>63</v>
      </c>
      <c r="AL208" s="30" t="s">
        <v>64</v>
      </c>
      <c r="AM208" s="23" t="s">
        <v>83</v>
      </c>
      <c r="AN208" s="31" t="s">
        <v>220</v>
      </c>
      <c r="AO208" s="23" t="s">
        <v>85</v>
      </c>
      <c r="AP208" s="23" t="s">
        <v>89</v>
      </c>
      <c r="AQ208" s="34">
        <v>6724</v>
      </c>
      <c r="AR208" s="23" t="s">
        <v>78</v>
      </c>
      <c r="AS208" s="23">
        <v>67</v>
      </c>
      <c r="AT208" s="23">
        <v>24</v>
      </c>
      <c r="AU208" s="23">
        <v>0</v>
      </c>
    </row>
    <row r="209" spans="1:47">
      <c r="A209" s="26" t="s">
        <v>62</v>
      </c>
      <c r="B209" s="23" t="s">
        <v>83</v>
      </c>
      <c r="C209" s="23">
        <v>3</v>
      </c>
      <c r="D209" s="23"/>
      <c r="E209" s="23" t="s">
        <v>60</v>
      </c>
      <c r="F209" s="23" t="s">
        <v>17</v>
      </c>
      <c r="G209" s="27">
        <v>2012</v>
      </c>
      <c r="H209" s="27">
        <v>20</v>
      </c>
      <c r="I209" s="27">
        <v>25</v>
      </c>
      <c r="J209" s="27">
        <v>20</v>
      </c>
      <c r="K209" s="27">
        <v>5</v>
      </c>
      <c r="L209" s="27">
        <v>14</v>
      </c>
      <c r="M209" s="27">
        <v>14</v>
      </c>
      <c r="N209" s="27"/>
      <c r="O209" s="27"/>
      <c r="P209" s="28">
        <v>33</v>
      </c>
      <c r="Q209" s="28">
        <v>31.07714285714286</v>
      </c>
      <c r="R209" s="28">
        <v>44.44380952380952</v>
      </c>
      <c r="S209" s="27">
        <v>100</v>
      </c>
      <c r="T209" s="29">
        <v>394.40000000000003</v>
      </c>
      <c r="U209" s="27">
        <v>290</v>
      </c>
      <c r="V209" s="27">
        <v>18</v>
      </c>
      <c r="W209" s="27">
        <v>127</v>
      </c>
      <c r="X209" s="29">
        <v>185</v>
      </c>
      <c r="Y209" s="27" t="s">
        <v>102</v>
      </c>
      <c r="Z209" s="27" t="s">
        <v>102</v>
      </c>
      <c r="AA209" s="29">
        <v>3</v>
      </c>
      <c r="AB209" s="29">
        <v>8</v>
      </c>
      <c r="AC209" s="29">
        <v>8</v>
      </c>
      <c r="AD209" s="29" t="s">
        <v>386</v>
      </c>
      <c r="AE209" s="29" t="s">
        <v>386</v>
      </c>
      <c r="AF209" s="29" t="s">
        <v>386</v>
      </c>
      <c r="AG209" s="27">
        <v>11</v>
      </c>
      <c r="AH209" s="27">
        <v>8</v>
      </c>
      <c r="AI209" s="27">
        <v>0</v>
      </c>
      <c r="AJ209" s="23" t="s">
        <v>59</v>
      </c>
      <c r="AK209" s="23" t="s">
        <v>63</v>
      </c>
      <c r="AL209" s="30" t="s">
        <v>64</v>
      </c>
      <c r="AM209" s="23" t="s">
        <v>83</v>
      </c>
      <c r="AN209" s="31" t="s">
        <v>220</v>
      </c>
      <c r="AO209" s="23" t="s">
        <v>85</v>
      </c>
      <c r="AP209" s="23" t="s">
        <v>89</v>
      </c>
      <c r="AQ209" s="34">
        <v>6724.01</v>
      </c>
      <c r="AR209" s="23" t="s">
        <v>78</v>
      </c>
      <c r="AS209" s="23">
        <v>67</v>
      </c>
      <c r="AT209" s="23">
        <v>24</v>
      </c>
      <c r="AU209" s="23">
        <v>1</v>
      </c>
    </row>
    <row r="210" spans="1:47">
      <c r="A210" s="26" t="s">
        <v>226</v>
      </c>
      <c r="B210" s="23" t="s">
        <v>55</v>
      </c>
      <c r="C210" s="23">
        <v>3</v>
      </c>
      <c r="D210" s="23"/>
      <c r="E210" s="23" t="s">
        <v>60</v>
      </c>
      <c r="F210" s="23" t="s">
        <v>290</v>
      </c>
      <c r="G210" s="27">
        <v>1999</v>
      </c>
      <c r="H210" s="27">
        <v>20</v>
      </c>
      <c r="I210" s="27">
        <v>25</v>
      </c>
      <c r="J210" s="27">
        <v>20</v>
      </c>
      <c r="K210" s="27">
        <v>14</v>
      </c>
      <c r="L210" s="27">
        <v>14</v>
      </c>
      <c r="M210" s="27">
        <v>14</v>
      </c>
      <c r="N210" s="27"/>
      <c r="O210" s="27"/>
      <c r="P210" s="28">
        <v>42</v>
      </c>
      <c r="Q210" s="28">
        <v>22.532000000000004</v>
      </c>
      <c r="R210" s="28">
        <v>31.864000000000004</v>
      </c>
      <c r="S210" s="27">
        <v>70</v>
      </c>
      <c r="T210" s="29">
        <v>270.64000000000004</v>
      </c>
      <c r="U210" s="27">
        <v>199</v>
      </c>
      <c r="V210" s="27">
        <v>12</v>
      </c>
      <c r="W210" s="27">
        <v>90</v>
      </c>
      <c r="X210" s="29">
        <v>200</v>
      </c>
      <c r="Y210" s="27" t="s">
        <v>69</v>
      </c>
      <c r="Z210" s="27" t="s">
        <v>69</v>
      </c>
      <c r="AA210" s="29">
        <v>5</v>
      </c>
      <c r="AB210" s="29">
        <v>8</v>
      </c>
      <c r="AC210" s="29" t="s">
        <v>386</v>
      </c>
      <c r="AD210" s="29" t="s">
        <v>386</v>
      </c>
      <c r="AE210" s="29" t="s">
        <v>386</v>
      </c>
      <c r="AF210" s="29" t="s">
        <v>386</v>
      </c>
      <c r="AG210" s="27">
        <v>13</v>
      </c>
      <c r="AH210" s="27">
        <v>0</v>
      </c>
      <c r="AI210" s="27">
        <v>0</v>
      </c>
      <c r="AJ210" s="23" t="s">
        <v>279</v>
      </c>
      <c r="AK210" s="23" t="s">
        <v>226</v>
      </c>
      <c r="AL210" s="30"/>
      <c r="AM210" s="23"/>
      <c r="AN210" s="31" t="s">
        <v>220</v>
      </c>
      <c r="AO210" s="23" t="s">
        <v>66</v>
      </c>
      <c r="AP210" s="23" t="s">
        <v>71</v>
      </c>
      <c r="AQ210" s="34">
        <v>7000</v>
      </c>
      <c r="AR210" s="23" t="s">
        <v>78</v>
      </c>
      <c r="AS210" s="23">
        <v>70</v>
      </c>
      <c r="AT210" s="23">
        <v>0</v>
      </c>
      <c r="AU210" s="23">
        <v>0</v>
      </c>
    </row>
    <row r="211" spans="1:47">
      <c r="A211" s="26" t="s">
        <v>226</v>
      </c>
      <c r="B211" s="23" t="s">
        <v>55</v>
      </c>
      <c r="C211" s="23">
        <v>3</v>
      </c>
      <c r="D211" s="23"/>
      <c r="E211" s="23" t="s">
        <v>60</v>
      </c>
      <c r="F211" s="23" t="s">
        <v>290</v>
      </c>
      <c r="G211" s="27">
        <v>1999</v>
      </c>
      <c r="H211" s="27">
        <v>20</v>
      </c>
      <c r="I211" s="27">
        <v>25</v>
      </c>
      <c r="J211" s="27">
        <v>20</v>
      </c>
      <c r="K211" s="27">
        <v>14</v>
      </c>
      <c r="L211" s="27">
        <v>14</v>
      </c>
      <c r="M211" s="27">
        <v>14</v>
      </c>
      <c r="N211" s="27"/>
      <c r="O211" s="27"/>
      <c r="P211" s="28">
        <v>42</v>
      </c>
      <c r="Q211" s="28">
        <v>22.532000000000004</v>
      </c>
      <c r="R211" s="28">
        <v>31.864000000000004</v>
      </c>
      <c r="S211" s="27">
        <v>70</v>
      </c>
      <c r="T211" s="29">
        <v>270.64000000000004</v>
      </c>
      <c r="U211" s="27">
        <v>199</v>
      </c>
      <c r="V211" s="27">
        <v>12</v>
      </c>
      <c r="W211" s="27">
        <v>90</v>
      </c>
      <c r="X211" s="29">
        <v>200</v>
      </c>
      <c r="Y211" s="27" t="s">
        <v>102</v>
      </c>
      <c r="Z211" s="27" t="s">
        <v>102</v>
      </c>
      <c r="AA211" s="29">
        <v>5</v>
      </c>
      <c r="AB211" s="29">
        <v>8</v>
      </c>
      <c r="AC211" s="29" t="s">
        <v>386</v>
      </c>
      <c r="AD211" s="29" t="s">
        <v>386</v>
      </c>
      <c r="AE211" s="29" t="s">
        <v>386</v>
      </c>
      <c r="AF211" s="29" t="s">
        <v>386</v>
      </c>
      <c r="AG211" s="27">
        <v>13</v>
      </c>
      <c r="AH211" s="27">
        <v>0</v>
      </c>
      <c r="AI211" s="27">
        <v>0</v>
      </c>
      <c r="AJ211" s="23" t="s">
        <v>279</v>
      </c>
      <c r="AK211" s="23" t="s">
        <v>226</v>
      </c>
      <c r="AL211" s="30"/>
      <c r="AM211" s="23"/>
      <c r="AN211" s="31" t="s">
        <v>220</v>
      </c>
      <c r="AO211" s="23" t="s">
        <v>66</v>
      </c>
      <c r="AP211" s="23" t="s">
        <v>71</v>
      </c>
      <c r="AQ211" s="34">
        <v>7000.01</v>
      </c>
      <c r="AR211" s="23" t="s">
        <v>78</v>
      </c>
      <c r="AS211" s="23">
        <v>70</v>
      </c>
      <c r="AT211" s="23">
        <v>0</v>
      </c>
      <c r="AU211" s="23">
        <v>1</v>
      </c>
    </row>
    <row r="212" spans="1:47">
      <c r="A212" s="26" t="s">
        <v>230</v>
      </c>
      <c r="B212" s="23" t="s">
        <v>233</v>
      </c>
      <c r="C212" s="23">
        <v>4</v>
      </c>
      <c r="D212" s="23"/>
      <c r="E212" s="23" t="s">
        <v>60</v>
      </c>
      <c r="F212" s="23" t="s">
        <v>291</v>
      </c>
      <c r="G212" s="27">
        <v>1999</v>
      </c>
      <c r="H212" s="27">
        <v>20</v>
      </c>
      <c r="I212" s="27">
        <v>25</v>
      </c>
      <c r="J212" s="27">
        <v>20</v>
      </c>
      <c r="K212" s="27">
        <v>14</v>
      </c>
      <c r="L212" s="27">
        <v>14</v>
      </c>
      <c r="M212" s="27">
        <v>14</v>
      </c>
      <c r="N212" s="27">
        <v>14</v>
      </c>
      <c r="O212" s="27"/>
      <c r="P212" s="28">
        <v>56</v>
      </c>
      <c r="Q212" s="28">
        <v>26.236000000000001</v>
      </c>
      <c r="R212" s="28">
        <v>34.25866666666667</v>
      </c>
      <c r="S212" s="27">
        <v>70</v>
      </c>
      <c r="T212" s="29">
        <v>274.72000000000003</v>
      </c>
      <c r="U212" s="27">
        <v>202</v>
      </c>
      <c r="V212" s="27">
        <v>17</v>
      </c>
      <c r="W212" s="27">
        <v>163</v>
      </c>
      <c r="X212" s="29">
        <v>200</v>
      </c>
      <c r="Y212" s="27" t="s">
        <v>69</v>
      </c>
      <c r="Z212" s="27" t="s">
        <v>69</v>
      </c>
      <c r="AA212" s="29">
        <v>2</v>
      </c>
      <c r="AB212" s="29">
        <v>8</v>
      </c>
      <c r="AC212" s="29">
        <v>1</v>
      </c>
      <c r="AD212" s="29">
        <v>8</v>
      </c>
      <c r="AE212" s="29" t="s">
        <v>386</v>
      </c>
      <c r="AF212" s="29" t="s">
        <v>386</v>
      </c>
      <c r="AG212" s="27">
        <v>10</v>
      </c>
      <c r="AH212" s="27">
        <v>9</v>
      </c>
      <c r="AI212" s="27">
        <v>0</v>
      </c>
      <c r="AJ212" s="23" t="s">
        <v>279</v>
      </c>
      <c r="AK212" s="23" t="s">
        <v>230</v>
      </c>
      <c r="AL212" s="30"/>
      <c r="AM212" s="23"/>
      <c r="AN212" s="31" t="s">
        <v>221</v>
      </c>
      <c r="AO212" s="23" t="s">
        <v>85</v>
      </c>
      <c r="AP212" s="23" t="s">
        <v>71</v>
      </c>
      <c r="AQ212" s="34">
        <v>7001</v>
      </c>
      <c r="AR212" s="23" t="s">
        <v>78</v>
      </c>
      <c r="AS212" s="23">
        <v>70</v>
      </c>
      <c r="AT212" s="23">
        <v>1</v>
      </c>
      <c r="AU212" s="23">
        <v>0</v>
      </c>
    </row>
    <row r="213" spans="1:47">
      <c r="A213" s="26" t="s">
        <v>230</v>
      </c>
      <c r="B213" s="23" t="s">
        <v>233</v>
      </c>
      <c r="C213" s="23">
        <v>4</v>
      </c>
      <c r="D213" s="23"/>
      <c r="E213" s="23" t="s">
        <v>60</v>
      </c>
      <c r="F213" s="23" t="s">
        <v>291</v>
      </c>
      <c r="G213" s="27">
        <v>1999</v>
      </c>
      <c r="H213" s="27">
        <v>20</v>
      </c>
      <c r="I213" s="27">
        <v>25</v>
      </c>
      <c r="J213" s="27">
        <v>20</v>
      </c>
      <c r="K213" s="27">
        <v>14</v>
      </c>
      <c r="L213" s="27">
        <v>14</v>
      </c>
      <c r="M213" s="27">
        <v>14</v>
      </c>
      <c r="N213" s="27">
        <v>14</v>
      </c>
      <c r="O213" s="27"/>
      <c r="P213" s="28">
        <v>56</v>
      </c>
      <c r="Q213" s="28">
        <v>26.236000000000001</v>
      </c>
      <c r="R213" s="28">
        <v>34.25866666666667</v>
      </c>
      <c r="S213" s="27">
        <v>70</v>
      </c>
      <c r="T213" s="29">
        <v>274.72000000000003</v>
      </c>
      <c r="U213" s="27">
        <v>202</v>
      </c>
      <c r="V213" s="27">
        <v>17</v>
      </c>
      <c r="W213" s="27">
        <v>163</v>
      </c>
      <c r="X213" s="29">
        <v>200</v>
      </c>
      <c r="Y213" s="27" t="s">
        <v>102</v>
      </c>
      <c r="Z213" s="27" t="s">
        <v>102</v>
      </c>
      <c r="AA213" s="29">
        <v>2</v>
      </c>
      <c r="AB213" s="29">
        <v>8</v>
      </c>
      <c r="AC213" s="29">
        <v>1</v>
      </c>
      <c r="AD213" s="29">
        <v>8</v>
      </c>
      <c r="AE213" s="29" t="s">
        <v>386</v>
      </c>
      <c r="AF213" s="29" t="s">
        <v>386</v>
      </c>
      <c r="AG213" s="27">
        <v>10</v>
      </c>
      <c r="AH213" s="27">
        <v>9</v>
      </c>
      <c r="AI213" s="27">
        <v>0</v>
      </c>
      <c r="AJ213" s="23" t="s">
        <v>279</v>
      </c>
      <c r="AK213" s="23" t="s">
        <v>230</v>
      </c>
      <c r="AL213" s="30"/>
      <c r="AM213" s="23"/>
      <c r="AN213" s="31" t="s">
        <v>221</v>
      </c>
      <c r="AO213" s="23" t="s">
        <v>85</v>
      </c>
      <c r="AP213" s="23" t="s">
        <v>71</v>
      </c>
      <c r="AQ213" s="34">
        <v>7001.01</v>
      </c>
      <c r="AR213" s="23" t="s">
        <v>78</v>
      </c>
      <c r="AS213" s="23">
        <v>70</v>
      </c>
      <c r="AT213" s="23">
        <v>1</v>
      </c>
      <c r="AU213" s="23">
        <v>1</v>
      </c>
    </row>
    <row r="214" spans="1:47">
      <c r="A214" s="26" t="s">
        <v>230</v>
      </c>
      <c r="B214" s="23" t="s">
        <v>233</v>
      </c>
      <c r="C214" s="23">
        <v>3</v>
      </c>
      <c r="D214" s="23"/>
      <c r="E214" s="23" t="s">
        <v>60</v>
      </c>
      <c r="F214" s="23" t="s">
        <v>292</v>
      </c>
      <c r="G214" s="27">
        <v>1999</v>
      </c>
      <c r="H214" s="27">
        <v>20</v>
      </c>
      <c r="I214" s="27">
        <v>25</v>
      </c>
      <c r="J214" s="27">
        <v>20</v>
      </c>
      <c r="K214" s="27">
        <v>14</v>
      </c>
      <c r="L214" s="27">
        <v>14</v>
      </c>
      <c r="M214" s="27">
        <v>14</v>
      </c>
      <c r="N214" s="27"/>
      <c r="O214" s="27"/>
      <c r="P214" s="28">
        <v>42</v>
      </c>
      <c r="Q214" s="28">
        <v>25.236000000000001</v>
      </c>
      <c r="R214" s="28">
        <v>33.25866666666667</v>
      </c>
      <c r="S214" s="27">
        <v>70</v>
      </c>
      <c r="T214" s="29">
        <v>274.72000000000003</v>
      </c>
      <c r="U214" s="27">
        <v>202</v>
      </c>
      <c r="V214" s="27">
        <v>17</v>
      </c>
      <c r="W214" s="27">
        <v>163</v>
      </c>
      <c r="X214" s="29">
        <v>200</v>
      </c>
      <c r="Y214" s="27" t="s">
        <v>69</v>
      </c>
      <c r="Z214" s="27" t="s">
        <v>69</v>
      </c>
      <c r="AA214" s="29">
        <v>2</v>
      </c>
      <c r="AB214" s="29">
        <v>8</v>
      </c>
      <c r="AC214" s="29">
        <v>1</v>
      </c>
      <c r="AD214" s="29">
        <v>8</v>
      </c>
      <c r="AE214" s="29" t="s">
        <v>386</v>
      </c>
      <c r="AF214" s="29" t="s">
        <v>386</v>
      </c>
      <c r="AG214" s="27">
        <v>10</v>
      </c>
      <c r="AH214" s="27">
        <v>9</v>
      </c>
      <c r="AI214" s="27">
        <v>0</v>
      </c>
      <c r="AJ214" s="23" t="s">
        <v>279</v>
      </c>
      <c r="AK214" s="23" t="s">
        <v>230</v>
      </c>
      <c r="AL214" s="30"/>
      <c r="AM214" s="23"/>
      <c r="AN214" s="31" t="s">
        <v>220</v>
      </c>
      <c r="AO214" s="23" t="s">
        <v>85</v>
      </c>
      <c r="AP214" s="23" t="s">
        <v>71</v>
      </c>
      <c r="AQ214" s="34">
        <v>7002</v>
      </c>
      <c r="AR214" s="23" t="s">
        <v>78</v>
      </c>
      <c r="AS214" s="23">
        <v>70</v>
      </c>
      <c r="AT214" s="23">
        <v>2</v>
      </c>
      <c r="AU214" s="23">
        <v>0</v>
      </c>
    </row>
    <row r="215" spans="1:47">
      <c r="A215" s="26" t="s">
        <v>231</v>
      </c>
      <c r="B215" s="23" t="s">
        <v>55</v>
      </c>
      <c r="C215" s="23">
        <v>3</v>
      </c>
      <c r="D215" s="23"/>
      <c r="E215" s="23" t="s">
        <v>60</v>
      </c>
      <c r="F215" s="23" t="s">
        <v>293</v>
      </c>
      <c r="G215" s="27">
        <v>2006</v>
      </c>
      <c r="H215" s="27">
        <v>20</v>
      </c>
      <c r="I215" s="27">
        <v>25</v>
      </c>
      <c r="J215" s="27">
        <v>20</v>
      </c>
      <c r="K215" s="27">
        <v>14</v>
      </c>
      <c r="L215" s="27">
        <v>14</v>
      </c>
      <c r="M215" s="27">
        <v>14</v>
      </c>
      <c r="N215" s="27"/>
      <c r="O215" s="27"/>
      <c r="P215" s="28">
        <v>42</v>
      </c>
      <c r="Q215" s="28">
        <v>22.532000000000004</v>
      </c>
      <c r="R215" s="28">
        <v>31.864000000000004</v>
      </c>
      <c r="S215" s="27">
        <v>70</v>
      </c>
      <c r="T215" s="29">
        <v>270.64000000000004</v>
      </c>
      <c r="U215" s="27">
        <v>199</v>
      </c>
      <c r="V215" s="27">
        <v>12</v>
      </c>
      <c r="W215" s="27">
        <v>90</v>
      </c>
      <c r="X215" s="29">
        <v>200</v>
      </c>
      <c r="Y215" s="27" t="s">
        <v>69</v>
      </c>
      <c r="Z215" s="27" t="s">
        <v>69</v>
      </c>
      <c r="AA215" s="29">
        <v>5</v>
      </c>
      <c r="AB215" s="29">
        <v>8</v>
      </c>
      <c r="AC215" s="29" t="s">
        <v>386</v>
      </c>
      <c r="AD215" s="29" t="s">
        <v>386</v>
      </c>
      <c r="AE215" s="29" t="s">
        <v>386</v>
      </c>
      <c r="AF215" s="29" t="s">
        <v>386</v>
      </c>
      <c r="AG215" s="27">
        <v>13</v>
      </c>
      <c r="AH215" s="27">
        <v>0</v>
      </c>
      <c r="AI215" s="27">
        <v>0</v>
      </c>
      <c r="AJ215" s="23" t="s">
        <v>279</v>
      </c>
      <c r="AK215" s="23" t="s">
        <v>226</v>
      </c>
      <c r="AL215" s="30" t="s">
        <v>280</v>
      </c>
      <c r="AM215" s="23"/>
      <c r="AN215" s="31" t="s">
        <v>220</v>
      </c>
      <c r="AO215" s="23" t="s">
        <v>66</v>
      </c>
      <c r="AP215" s="23" t="s">
        <v>71</v>
      </c>
      <c r="AQ215" s="34">
        <v>7003</v>
      </c>
      <c r="AR215" s="23" t="s">
        <v>78</v>
      </c>
      <c r="AS215" s="23">
        <v>70</v>
      </c>
      <c r="AT215" s="23">
        <v>3</v>
      </c>
      <c r="AU215" s="23">
        <v>0</v>
      </c>
    </row>
    <row r="216" spans="1:47">
      <c r="A216" s="26" t="s">
        <v>231</v>
      </c>
      <c r="B216" s="23" t="s">
        <v>55</v>
      </c>
      <c r="C216" s="23">
        <v>2</v>
      </c>
      <c r="D216" s="23"/>
      <c r="E216" s="23" t="s">
        <v>60</v>
      </c>
      <c r="F216" s="23" t="s">
        <v>309</v>
      </c>
      <c r="G216" s="27">
        <v>2006</v>
      </c>
      <c r="H216" s="27">
        <v>20</v>
      </c>
      <c r="I216" s="27">
        <v>25</v>
      </c>
      <c r="J216" s="27">
        <v>20</v>
      </c>
      <c r="K216" s="27">
        <v>14</v>
      </c>
      <c r="L216" s="27">
        <v>14</v>
      </c>
      <c r="M216" s="27"/>
      <c r="N216" s="27"/>
      <c r="O216" s="27"/>
      <c r="P216" s="28">
        <v>28</v>
      </c>
      <c r="Q216" s="28">
        <v>21.532000000000004</v>
      </c>
      <c r="R216" s="28">
        <v>30.864000000000004</v>
      </c>
      <c r="S216" s="27">
        <v>70</v>
      </c>
      <c r="T216" s="29">
        <v>270.64000000000004</v>
      </c>
      <c r="U216" s="27">
        <v>199</v>
      </c>
      <c r="V216" s="27">
        <v>12</v>
      </c>
      <c r="W216" s="27">
        <v>90</v>
      </c>
      <c r="X216" s="29">
        <v>200</v>
      </c>
      <c r="Y216" s="27" t="s">
        <v>69</v>
      </c>
      <c r="Z216" s="27" t="s">
        <v>69</v>
      </c>
      <c r="AA216" s="29">
        <v>5</v>
      </c>
      <c r="AB216" s="29">
        <v>8</v>
      </c>
      <c r="AC216" s="29" t="s">
        <v>386</v>
      </c>
      <c r="AD216" s="29" t="s">
        <v>386</v>
      </c>
      <c r="AE216" s="29" t="s">
        <v>386</v>
      </c>
      <c r="AF216" s="29" t="s">
        <v>386</v>
      </c>
      <c r="AG216" s="27">
        <v>13</v>
      </c>
      <c r="AH216" s="27">
        <v>0</v>
      </c>
      <c r="AI216" s="27">
        <v>0</v>
      </c>
      <c r="AJ216" s="23" t="s">
        <v>279</v>
      </c>
      <c r="AK216" s="23" t="s">
        <v>226</v>
      </c>
      <c r="AL216" s="30" t="s">
        <v>280</v>
      </c>
      <c r="AM216" s="23"/>
      <c r="AN216" s="31" t="s">
        <v>219</v>
      </c>
      <c r="AO216" s="23" t="s">
        <v>66</v>
      </c>
      <c r="AP216" s="23" t="s">
        <v>71</v>
      </c>
      <c r="AQ216" s="34">
        <v>7004</v>
      </c>
      <c r="AR216" s="23" t="s">
        <v>78</v>
      </c>
      <c r="AS216" s="23">
        <v>70</v>
      </c>
      <c r="AT216" s="23">
        <v>4</v>
      </c>
      <c r="AU216" s="23">
        <v>0</v>
      </c>
    </row>
    <row r="217" spans="1:47">
      <c r="A217" s="26" t="s">
        <v>232</v>
      </c>
      <c r="B217" s="23" t="s">
        <v>55</v>
      </c>
      <c r="C217" s="23">
        <v>3</v>
      </c>
      <c r="D217" s="23"/>
      <c r="E217" s="23" t="s">
        <v>60</v>
      </c>
      <c r="F217" s="23" t="s">
        <v>294</v>
      </c>
      <c r="G217" s="27">
        <v>2008</v>
      </c>
      <c r="H217" s="27">
        <v>20</v>
      </c>
      <c r="I217" s="27">
        <v>25</v>
      </c>
      <c r="J217" s="27">
        <v>20</v>
      </c>
      <c r="K217" s="27">
        <v>14</v>
      </c>
      <c r="L217" s="27">
        <v>14</v>
      </c>
      <c r="M217" s="27">
        <v>14</v>
      </c>
      <c r="N217" s="27"/>
      <c r="O217" s="27"/>
      <c r="P217" s="28">
        <v>42</v>
      </c>
      <c r="Q217" s="28">
        <v>19.948</v>
      </c>
      <c r="R217" s="28">
        <v>26.649333333333335</v>
      </c>
      <c r="S217" s="27">
        <v>70</v>
      </c>
      <c r="T217" s="29">
        <v>218.96</v>
      </c>
      <c r="U217" s="27">
        <v>161</v>
      </c>
      <c r="V217" s="27">
        <v>12</v>
      </c>
      <c r="W217" s="27">
        <v>83</v>
      </c>
      <c r="X217" s="29">
        <v>200</v>
      </c>
      <c r="Y217" s="27" t="s">
        <v>69</v>
      </c>
      <c r="Z217" s="27" t="s">
        <v>69</v>
      </c>
      <c r="AA217" s="29">
        <v>5</v>
      </c>
      <c r="AB217" s="29">
        <v>8</v>
      </c>
      <c r="AC217" s="29" t="s">
        <v>386</v>
      </c>
      <c r="AD217" s="29" t="s">
        <v>386</v>
      </c>
      <c r="AE217" s="29" t="s">
        <v>386</v>
      </c>
      <c r="AF217" s="29" t="s">
        <v>386</v>
      </c>
      <c r="AG217" s="27">
        <v>13</v>
      </c>
      <c r="AH217" s="27">
        <v>0</v>
      </c>
      <c r="AI217" s="27">
        <v>0</v>
      </c>
      <c r="AJ217" s="23" t="s">
        <v>279</v>
      </c>
      <c r="AK217" s="23" t="s">
        <v>226</v>
      </c>
      <c r="AL217" s="30" t="s">
        <v>280</v>
      </c>
      <c r="AM217" s="23" t="s">
        <v>31</v>
      </c>
      <c r="AN217" s="31" t="s">
        <v>220</v>
      </c>
      <c r="AO217" s="23" t="s">
        <v>66</v>
      </c>
      <c r="AP217" s="23" t="s">
        <v>71</v>
      </c>
      <c r="AQ217" s="34">
        <v>7005</v>
      </c>
      <c r="AR217" s="23" t="s">
        <v>78</v>
      </c>
      <c r="AS217" s="23">
        <v>70</v>
      </c>
      <c r="AT217" s="23">
        <v>5</v>
      </c>
      <c r="AU217" s="23">
        <v>0</v>
      </c>
    </row>
    <row r="218" spans="1:47">
      <c r="A218" s="26" t="s">
        <v>270</v>
      </c>
      <c r="B218" s="23" t="s">
        <v>56</v>
      </c>
      <c r="C218" s="23">
        <v>2</v>
      </c>
      <c r="D218" s="23"/>
      <c r="E218" s="23" t="s">
        <v>60</v>
      </c>
      <c r="F218" s="23" t="s">
        <v>310</v>
      </c>
      <c r="G218" s="27">
        <v>2010</v>
      </c>
      <c r="H218" s="27">
        <v>20</v>
      </c>
      <c r="I218" s="27">
        <v>25</v>
      </c>
      <c r="J218" s="27">
        <v>20</v>
      </c>
      <c r="K218" s="27">
        <v>14</v>
      </c>
      <c r="L218" s="27">
        <v>14</v>
      </c>
      <c r="M218" s="27"/>
      <c r="N218" s="27"/>
      <c r="O218" s="27"/>
      <c r="P218" s="28">
        <v>28</v>
      </c>
      <c r="Q218" s="28">
        <v>24.82</v>
      </c>
      <c r="R218" s="28">
        <v>36.700000000000003</v>
      </c>
      <c r="S218" s="27">
        <v>90</v>
      </c>
      <c r="T218" s="29">
        <v>326.40000000000003</v>
      </c>
      <c r="U218" s="27">
        <v>240</v>
      </c>
      <c r="V218" s="27">
        <v>13</v>
      </c>
      <c r="W218" s="27">
        <v>114</v>
      </c>
      <c r="X218" s="29">
        <v>200</v>
      </c>
      <c r="Y218" s="27" t="s">
        <v>69</v>
      </c>
      <c r="Z218" s="27" t="s">
        <v>69</v>
      </c>
      <c r="AA218" s="29">
        <v>7</v>
      </c>
      <c r="AB218" s="29">
        <v>8</v>
      </c>
      <c r="AC218" s="29" t="s">
        <v>386</v>
      </c>
      <c r="AD218" s="29" t="s">
        <v>386</v>
      </c>
      <c r="AE218" s="29" t="s">
        <v>386</v>
      </c>
      <c r="AF218" s="29" t="s">
        <v>386</v>
      </c>
      <c r="AG218" s="27">
        <v>15</v>
      </c>
      <c r="AH218" s="27">
        <v>0</v>
      </c>
      <c r="AI218" s="27">
        <v>0</v>
      </c>
      <c r="AJ218" s="23" t="s">
        <v>279</v>
      </c>
      <c r="AK218" s="23" t="s">
        <v>285</v>
      </c>
      <c r="AL218" s="30"/>
      <c r="AM218" s="23" t="s">
        <v>56</v>
      </c>
      <c r="AN218" s="31" t="s">
        <v>219</v>
      </c>
      <c r="AO218" s="23" t="s">
        <v>271</v>
      </c>
      <c r="AP218" s="23" t="s">
        <v>72</v>
      </c>
      <c r="AQ218" s="34">
        <v>7100</v>
      </c>
      <c r="AR218" s="23" t="s">
        <v>78</v>
      </c>
      <c r="AS218" s="23">
        <v>71</v>
      </c>
      <c r="AT218" s="23">
        <v>0</v>
      </c>
      <c r="AU218" s="23">
        <v>0</v>
      </c>
    </row>
    <row r="219" spans="1:47">
      <c r="A219" s="26" t="s">
        <v>295</v>
      </c>
      <c r="B219" s="23"/>
      <c r="C219" s="23">
        <v>4</v>
      </c>
      <c r="D219" s="23"/>
      <c r="E219" s="23" t="s">
        <v>60</v>
      </c>
      <c r="F219" s="23" t="s">
        <v>296</v>
      </c>
      <c r="G219" s="27">
        <v>2002</v>
      </c>
      <c r="H219" s="27">
        <v>20</v>
      </c>
      <c r="I219" s="27">
        <v>25</v>
      </c>
      <c r="J219" s="27">
        <v>20</v>
      </c>
      <c r="K219" s="27">
        <v>14</v>
      </c>
      <c r="L219" s="27">
        <v>14</v>
      </c>
      <c r="M219" s="27">
        <v>14</v>
      </c>
      <c r="N219" s="27">
        <v>14</v>
      </c>
      <c r="O219" s="27"/>
      <c r="P219" s="28">
        <v>56</v>
      </c>
      <c r="Q219" s="28">
        <v>28.82</v>
      </c>
      <c r="R219" s="28">
        <v>39.306666666666672</v>
      </c>
      <c r="S219" s="27">
        <v>70</v>
      </c>
      <c r="T219" s="29">
        <v>326.40000000000003</v>
      </c>
      <c r="U219" s="27">
        <v>240</v>
      </c>
      <c r="V219" s="27">
        <v>17</v>
      </c>
      <c r="W219" s="27">
        <v>145</v>
      </c>
      <c r="X219" s="29">
        <v>200</v>
      </c>
      <c r="Y219" s="27" t="s">
        <v>69</v>
      </c>
      <c r="Z219" s="27" t="s">
        <v>69</v>
      </c>
      <c r="AA219" s="29">
        <v>2</v>
      </c>
      <c r="AB219" s="29">
        <v>8</v>
      </c>
      <c r="AC219" s="29">
        <v>1</v>
      </c>
      <c r="AD219" s="29">
        <v>8</v>
      </c>
      <c r="AE219" s="29" t="s">
        <v>386</v>
      </c>
      <c r="AF219" s="29" t="s">
        <v>386</v>
      </c>
      <c r="AG219" s="27">
        <v>10</v>
      </c>
      <c r="AH219" s="27">
        <v>9</v>
      </c>
      <c r="AI219" s="27">
        <v>0</v>
      </c>
      <c r="AJ219" s="23" t="s">
        <v>301</v>
      </c>
      <c r="AK219" s="23" t="s">
        <v>300</v>
      </c>
      <c r="AL219" s="30">
        <v>18</v>
      </c>
      <c r="AM219" s="23"/>
      <c r="AN219" s="31" t="s">
        <v>221</v>
      </c>
      <c r="AO219" s="23" t="s">
        <v>85</v>
      </c>
      <c r="AP219" s="23" t="s">
        <v>71</v>
      </c>
      <c r="AQ219" s="34">
        <v>8000</v>
      </c>
      <c r="AR219" s="23" t="s">
        <v>78</v>
      </c>
      <c r="AS219" s="23">
        <v>80</v>
      </c>
      <c r="AT219" s="23">
        <v>0</v>
      </c>
      <c r="AU219" s="23">
        <v>0</v>
      </c>
    </row>
    <row r="220" spans="1:47">
      <c r="A220" s="26" t="s">
        <v>295</v>
      </c>
      <c r="B220" s="23"/>
      <c r="C220" s="23">
        <v>3</v>
      </c>
      <c r="D220" s="23"/>
      <c r="E220" s="23" t="s">
        <v>60</v>
      </c>
      <c r="F220" s="23" t="s">
        <v>297</v>
      </c>
      <c r="G220" s="27">
        <v>2002</v>
      </c>
      <c r="H220" s="27">
        <v>20</v>
      </c>
      <c r="I220" s="27">
        <v>25</v>
      </c>
      <c r="J220" s="27">
        <v>20</v>
      </c>
      <c r="K220" s="27">
        <v>14</v>
      </c>
      <c r="L220" s="27">
        <v>14</v>
      </c>
      <c r="M220" s="27">
        <v>14</v>
      </c>
      <c r="N220" s="27"/>
      <c r="O220" s="27"/>
      <c r="P220" s="28">
        <v>42</v>
      </c>
      <c r="Q220" s="28">
        <v>27.82</v>
      </c>
      <c r="R220" s="28">
        <v>38.306666666666672</v>
      </c>
      <c r="S220" s="27">
        <v>70</v>
      </c>
      <c r="T220" s="29">
        <v>326.40000000000003</v>
      </c>
      <c r="U220" s="27">
        <v>240</v>
      </c>
      <c r="V220" s="27">
        <v>17</v>
      </c>
      <c r="W220" s="27">
        <v>145</v>
      </c>
      <c r="X220" s="29">
        <v>200</v>
      </c>
      <c r="Y220" s="27" t="s">
        <v>69</v>
      </c>
      <c r="Z220" s="27" t="s">
        <v>69</v>
      </c>
      <c r="AA220" s="29">
        <v>2</v>
      </c>
      <c r="AB220" s="29">
        <v>8</v>
      </c>
      <c r="AC220" s="29">
        <v>1</v>
      </c>
      <c r="AD220" s="29">
        <v>8</v>
      </c>
      <c r="AE220" s="29" t="s">
        <v>386</v>
      </c>
      <c r="AF220" s="29" t="s">
        <v>386</v>
      </c>
      <c r="AG220" s="27">
        <v>10</v>
      </c>
      <c r="AH220" s="27">
        <v>9</v>
      </c>
      <c r="AI220" s="27">
        <v>0</v>
      </c>
      <c r="AJ220" s="23" t="s">
        <v>301</v>
      </c>
      <c r="AK220" s="23" t="s">
        <v>300</v>
      </c>
      <c r="AL220" s="30">
        <v>18</v>
      </c>
      <c r="AM220" s="23"/>
      <c r="AN220" s="31" t="s">
        <v>220</v>
      </c>
      <c r="AO220" s="23" t="s">
        <v>85</v>
      </c>
      <c r="AP220" s="23" t="s">
        <v>71</v>
      </c>
      <c r="AQ220" s="34">
        <v>8001</v>
      </c>
      <c r="AR220" s="23" t="s">
        <v>78</v>
      </c>
      <c r="AS220" s="23">
        <v>80</v>
      </c>
      <c r="AT220" s="23">
        <v>1</v>
      </c>
      <c r="AU220" s="23">
        <v>0</v>
      </c>
    </row>
    <row r="221" spans="1:47">
      <c r="A221" s="26" t="s">
        <v>295</v>
      </c>
      <c r="B221" s="23"/>
      <c r="C221" s="23">
        <v>3</v>
      </c>
      <c r="D221" s="23"/>
      <c r="E221" s="23" t="s">
        <v>60</v>
      </c>
      <c r="F221" s="23" t="s">
        <v>297</v>
      </c>
      <c r="G221" s="27">
        <v>2002</v>
      </c>
      <c r="H221" s="27">
        <v>20</v>
      </c>
      <c r="I221" s="27">
        <v>25</v>
      </c>
      <c r="J221" s="27">
        <v>20</v>
      </c>
      <c r="K221" s="27">
        <v>14</v>
      </c>
      <c r="L221" s="27">
        <v>14</v>
      </c>
      <c r="M221" s="27">
        <v>14</v>
      </c>
      <c r="N221" s="27"/>
      <c r="O221" s="27"/>
      <c r="P221" s="28">
        <v>42</v>
      </c>
      <c r="Q221" s="28">
        <v>27.82</v>
      </c>
      <c r="R221" s="28">
        <v>38.306666666666672</v>
      </c>
      <c r="S221" s="27">
        <v>70</v>
      </c>
      <c r="T221" s="29">
        <v>326.40000000000003</v>
      </c>
      <c r="U221" s="27">
        <v>240</v>
      </c>
      <c r="V221" s="27">
        <v>17</v>
      </c>
      <c r="W221" s="27">
        <v>145</v>
      </c>
      <c r="X221" s="29">
        <v>200</v>
      </c>
      <c r="Y221" s="27" t="s">
        <v>298</v>
      </c>
      <c r="Z221" s="27" t="s">
        <v>298</v>
      </c>
      <c r="AA221" s="29">
        <v>2</v>
      </c>
      <c r="AB221" s="29">
        <v>8</v>
      </c>
      <c r="AC221" s="29">
        <v>1</v>
      </c>
      <c r="AD221" s="29">
        <v>8</v>
      </c>
      <c r="AE221" s="29" t="s">
        <v>386</v>
      </c>
      <c r="AF221" s="29" t="s">
        <v>386</v>
      </c>
      <c r="AG221" s="27">
        <v>10</v>
      </c>
      <c r="AH221" s="27">
        <v>9</v>
      </c>
      <c r="AI221" s="27">
        <v>0</v>
      </c>
      <c r="AJ221" s="23" t="s">
        <v>301</v>
      </c>
      <c r="AK221" s="23" t="s">
        <v>300</v>
      </c>
      <c r="AL221" s="30">
        <v>18</v>
      </c>
      <c r="AM221" s="23"/>
      <c r="AN221" s="31" t="s">
        <v>220</v>
      </c>
      <c r="AO221" s="23" t="s">
        <v>85</v>
      </c>
      <c r="AP221" s="23" t="s">
        <v>71</v>
      </c>
      <c r="AQ221" s="34">
        <v>8001.01</v>
      </c>
      <c r="AR221" s="35" t="s">
        <v>299</v>
      </c>
      <c r="AS221" s="23">
        <v>80</v>
      </c>
      <c r="AT221" s="23">
        <v>1</v>
      </c>
      <c r="AU221" s="23">
        <v>1</v>
      </c>
    </row>
    <row r="222" spans="1:47">
      <c r="A222" s="26" t="s">
        <v>272</v>
      </c>
      <c r="B222" s="23" t="s">
        <v>55</v>
      </c>
      <c r="C222" s="23">
        <v>2</v>
      </c>
      <c r="D222" s="23"/>
      <c r="E222" s="23" t="s">
        <v>60</v>
      </c>
      <c r="F222" s="23" t="s">
        <v>302</v>
      </c>
      <c r="G222" s="27">
        <v>1991</v>
      </c>
      <c r="H222" s="27">
        <v>20</v>
      </c>
      <c r="I222" s="27">
        <v>25</v>
      </c>
      <c r="J222" s="27">
        <v>20</v>
      </c>
      <c r="K222" s="27">
        <v>14</v>
      </c>
      <c r="L222" s="27">
        <v>14</v>
      </c>
      <c r="M222" s="27"/>
      <c r="N222" s="27"/>
      <c r="O222" s="27"/>
      <c r="P222" s="28">
        <v>28</v>
      </c>
      <c r="Q222" s="28">
        <v>21.94</v>
      </c>
      <c r="R222" s="28">
        <v>31.593333333333334</v>
      </c>
      <c r="S222" s="27">
        <v>70</v>
      </c>
      <c r="T222" s="29">
        <v>278.8</v>
      </c>
      <c r="U222" s="27">
        <v>205</v>
      </c>
      <c r="V222" s="27">
        <v>12</v>
      </c>
      <c r="W222" s="27">
        <v>77</v>
      </c>
      <c r="X222" s="29">
        <v>200</v>
      </c>
      <c r="Y222" s="27" t="s">
        <v>69</v>
      </c>
      <c r="Z222" s="27" t="s">
        <v>69</v>
      </c>
      <c r="AA222" s="29">
        <v>5</v>
      </c>
      <c r="AB222" s="29">
        <v>8</v>
      </c>
      <c r="AC222" s="29" t="s">
        <v>386</v>
      </c>
      <c r="AD222" s="29" t="s">
        <v>386</v>
      </c>
      <c r="AE222" s="29" t="s">
        <v>386</v>
      </c>
      <c r="AF222" s="29" t="s">
        <v>386</v>
      </c>
      <c r="AG222" s="27">
        <v>13</v>
      </c>
      <c r="AH222" s="27">
        <v>0</v>
      </c>
      <c r="AI222" s="27">
        <v>0</v>
      </c>
      <c r="AJ222" s="23" t="s">
        <v>184</v>
      </c>
      <c r="AK222" s="23" t="s">
        <v>277</v>
      </c>
      <c r="AL222" s="30" t="s">
        <v>273</v>
      </c>
      <c r="AM222" s="23"/>
      <c r="AN222" s="31" t="s">
        <v>219</v>
      </c>
      <c r="AO222" s="23" t="s">
        <v>66</v>
      </c>
      <c r="AP222" s="23" t="s">
        <v>71</v>
      </c>
      <c r="AQ222" s="34">
        <v>9000</v>
      </c>
      <c r="AR222" s="23" t="s">
        <v>78</v>
      </c>
      <c r="AS222" s="23">
        <v>90</v>
      </c>
      <c r="AT222" s="23">
        <v>0</v>
      </c>
      <c r="AU222" s="23">
        <v>0</v>
      </c>
    </row>
    <row r="223" spans="1:47">
      <c r="A223" s="26" t="s">
        <v>272</v>
      </c>
      <c r="B223" s="23" t="s">
        <v>55</v>
      </c>
      <c r="C223" s="23">
        <v>2</v>
      </c>
      <c r="D223" s="23"/>
      <c r="E223" s="23" t="s">
        <v>60</v>
      </c>
      <c r="F223" s="23" t="s">
        <v>302</v>
      </c>
      <c r="G223" s="27">
        <v>1991</v>
      </c>
      <c r="H223" s="27">
        <v>20</v>
      </c>
      <c r="I223" s="27">
        <v>25</v>
      </c>
      <c r="J223" s="27">
        <v>20</v>
      </c>
      <c r="K223" s="27">
        <v>14</v>
      </c>
      <c r="L223" s="27">
        <v>14</v>
      </c>
      <c r="M223" s="27"/>
      <c r="N223" s="27"/>
      <c r="O223" s="27"/>
      <c r="P223" s="28">
        <v>28</v>
      </c>
      <c r="Q223" s="28">
        <v>21.94</v>
      </c>
      <c r="R223" s="28">
        <v>31.593333333333334</v>
      </c>
      <c r="S223" s="27">
        <v>70</v>
      </c>
      <c r="T223" s="29">
        <v>278.8</v>
      </c>
      <c r="U223" s="27">
        <v>205</v>
      </c>
      <c r="V223" s="27">
        <v>12</v>
      </c>
      <c r="W223" s="27">
        <v>77</v>
      </c>
      <c r="X223" s="29">
        <v>200</v>
      </c>
      <c r="Y223" s="27" t="s">
        <v>304</v>
      </c>
      <c r="Z223" s="27" t="s">
        <v>356</v>
      </c>
      <c r="AA223" s="29">
        <v>5</v>
      </c>
      <c r="AB223" s="29">
        <v>8</v>
      </c>
      <c r="AC223" s="29" t="s">
        <v>386</v>
      </c>
      <c r="AD223" s="29" t="s">
        <v>386</v>
      </c>
      <c r="AE223" s="29" t="s">
        <v>386</v>
      </c>
      <c r="AF223" s="29" t="s">
        <v>386</v>
      </c>
      <c r="AG223" s="27">
        <v>13</v>
      </c>
      <c r="AH223" s="27">
        <v>0</v>
      </c>
      <c r="AI223" s="27">
        <v>0</v>
      </c>
      <c r="AJ223" s="23" t="s">
        <v>184</v>
      </c>
      <c r="AK223" s="23" t="s">
        <v>277</v>
      </c>
      <c r="AL223" s="30" t="s">
        <v>273</v>
      </c>
      <c r="AM223" s="23"/>
      <c r="AN223" s="31" t="s">
        <v>219</v>
      </c>
      <c r="AO223" s="23" t="s">
        <v>66</v>
      </c>
      <c r="AP223" s="23" t="s">
        <v>71</v>
      </c>
      <c r="AQ223" s="34">
        <v>9000.01</v>
      </c>
      <c r="AR223" s="23" t="s">
        <v>275</v>
      </c>
      <c r="AS223" s="23">
        <v>90</v>
      </c>
      <c r="AT223" s="23">
        <v>0</v>
      </c>
      <c r="AU223" s="23">
        <v>1</v>
      </c>
    </row>
    <row r="224" spans="1:47">
      <c r="A224" s="26" t="s">
        <v>272</v>
      </c>
      <c r="B224" s="23" t="s">
        <v>55</v>
      </c>
      <c r="C224" s="23">
        <v>2</v>
      </c>
      <c r="D224" s="23"/>
      <c r="E224" s="23" t="s">
        <v>60</v>
      </c>
      <c r="F224" s="23" t="s">
        <v>302</v>
      </c>
      <c r="G224" s="27">
        <v>1991</v>
      </c>
      <c r="H224" s="27">
        <v>20</v>
      </c>
      <c r="I224" s="27">
        <v>25</v>
      </c>
      <c r="J224" s="27">
        <v>20</v>
      </c>
      <c r="K224" s="27">
        <v>14</v>
      </c>
      <c r="L224" s="27">
        <v>14</v>
      </c>
      <c r="M224" s="27"/>
      <c r="N224" s="27"/>
      <c r="O224" s="27"/>
      <c r="P224" s="28">
        <v>28</v>
      </c>
      <c r="Q224" s="28">
        <v>21.94</v>
      </c>
      <c r="R224" s="28">
        <v>31.593333333333334</v>
      </c>
      <c r="S224" s="27">
        <v>70</v>
      </c>
      <c r="T224" s="29">
        <v>278.8</v>
      </c>
      <c r="U224" s="27">
        <v>205</v>
      </c>
      <c r="V224" s="27">
        <v>12</v>
      </c>
      <c r="W224" s="27">
        <v>77</v>
      </c>
      <c r="X224" s="29">
        <v>200</v>
      </c>
      <c r="Y224" s="27" t="s">
        <v>305</v>
      </c>
      <c r="Z224" s="27" t="s">
        <v>356</v>
      </c>
      <c r="AA224" s="29">
        <v>5</v>
      </c>
      <c r="AB224" s="29">
        <v>8</v>
      </c>
      <c r="AC224" s="29" t="s">
        <v>386</v>
      </c>
      <c r="AD224" s="29" t="s">
        <v>386</v>
      </c>
      <c r="AE224" s="29" t="s">
        <v>386</v>
      </c>
      <c r="AF224" s="29" t="s">
        <v>386</v>
      </c>
      <c r="AG224" s="27">
        <v>13</v>
      </c>
      <c r="AH224" s="27">
        <v>0</v>
      </c>
      <c r="AI224" s="27">
        <v>0</v>
      </c>
      <c r="AJ224" s="23" t="s">
        <v>184</v>
      </c>
      <c r="AK224" s="23" t="s">
        <v>277</v>
      </c>
      <c r="AL224" s="30" t="s">
        <v>273</v>
      </c>
      <c r="AM224" s="23"/>
      <c r="AN224" s="31" t="s">
        <v>219</v>
      </c>
      <c r="AO224" s="23" t="s">
        <v>66</v>
      </c>
      <c r="AP224" s="23" t="s">
        <v>71</v>
      </c>
      <c r="AQ224" s="34">
        <v>9000.02</v>
      </c>
      <c r="AR224" s="23" t="s">
        <v>275</v>
      </c>
      <c r="AS224" s="23">
        <v>90</v>
      </c>
      <c r="AT224" s="23">
        <v>0</v>
      </c>
      <c r="AU224" s="23">
        <v>2</v>
      </c>
    </row>
    <row r="225" spans="1:47">
      <c r="A225" s="26" t="s">
        <v>272</v>
      </c>
      <c r="B225" s="23" t="s">
        <v>55</v>
      </c>
      <c r="C225" s="23">
        <v>2</v>
      </c>
      <c r="D225" s="23"/>
      <c r="E225" s="23" t="s">
        <v>60</v>
      </c>
      <c r="F225" s="23" t="s">
        <v>302</v>
      </c>
      <c r="G225" s="27">
        <v>1991</v>
      </c>
      <c r="H225" s="27">
        <v>20</v>
      </c>
      <c r="I225" s="27">
        <v>25</v>
      </c>
      <c r="J225" s="27">
        <v>20</v>
      </c>
      <c r="K225" s="27">
        <v>14</v>
      </c>
      <c r="L225" s="27">
        <v>14</v>
      </c>
      <c r="M225" s="27"/>
      <c r="N225" s="27"/>
      <c r="O225" s="27"/>
      <c r="P225" s="28">
        <v>28</v>
      </c>
      <c r="Q225" s="28">
        <v>21.94</v>
      </c>
      <c r="R225" s="28">
        <v>31.593333333333334</v>
      </c>
      <c r="S225" s="27">
        <v>70</v>
      </c>
      <c r="T225" s="29">
        <v>278.8</v>
      </c>
      <c r="U225" s="27">
        <v>205</v>
      </c>
      <c r="V225" s="27">
        <v>12</v>
      </c>
      <c r="W225" s="27">
        <v>77</v>
      </c>
      <c r="X225" s="29">
        <v>200</v>
      </c>
      <c r="Y225" s="27" t="s">
        <v>306</v>
      </c>
      <c r="Z225" s="27" t="s">
        <v>306</v>
      </c>
      <c r="AA225" s="29">
        <v>5</v>
      </c>
      <c r="AB225" s="29">
        <v>8</v>
      </c>
      <c r="AC225" s="29" t="s">
        <v>386</v>
      </c>
      <c r="AD225" s="29" t="s">
        <v>386</v>
      </c>
      <c r="AE225" s="29" t="s">
        <v>386</v>
      </c>
      <c r="AF225" s="29" t="s">
        <v>386</v>
      </c>
      <c r="AG225" s="27">
        <v>13</v>
      </c>
      <c r="AH225" s="27">
        <v>0</v>
      </c>
      <c r="AI225" s="27">
        <v>0</v>
      </c>
      <c r="AJ225" s="23" t="s">
        <v>184</v>
      </c>
      <c r="AK225" s="23" t="s">
        <v>277</v>
      </c>
      <c r="AL225" s="30" t="s">
        <v>273</v>
      </c>
      <c r="AM225" s="23"/>
      <c r="AN225" s="31" t="s">
        <v>219</v>
      </c>
      <c r="AO225" s="23" t="s">
        <v>66</v>
      </c>
      <c r="AP225" s="23" t="s">
        <v>71</v>
      </c>
      <c r="AQ225" s="34">
        <v>9000.0300000000007</v>
      </c>
      <c r="AR225" s="23" t="s">
        <v>275</v>
      </c>
      <c r="AS225" s="23">
        <v>90</v>
      </c>
      <c r="AT225" s="23">
        <v>0</v>
      </c>
      <c r="AU225" s="23">
        <v>3</v>
      </c>
    </row>
    <row r="226" spans="1:47">
      <c r="A226" s="26" t="s">
        <v>272</v>
      </c>
      <c r="B226" s="23" t="s">
        <v>55</v>
      </c>
      <c r="C226" s="23">
        <v>2</v>
      </c>
      <c r="D226" s="23"/>
      <c r="E226" s="23" t="s">
        <v>60</v>
      </c>
      <c r="F226" s="23" t="s">
        <v>302</v>
      </c>
      <c r="G226" s="27">
        <v>1991</v>
      </c>
      <c r="H226" s="27">
        <v>20</v>
      </c>
      <c r="I226" s="27">
        <v>25</v>
      </c>
      <c r="J226" s="27">
        <v>20</v>
      </c>
      <c r="K226" s="27">
        <v>14</v>
      </c>
      <c r="L226" s="27">
        <v>14</v>
      </c>
      <c r="M226" s="27"/>
      <c r="N226" s="27"/>
      <c r="O226" s="27"/>
      <c r="P226" s="28">
        <v>28</v>
      </c>
      <c r="Q226" s="28">
        <v>21.94</v>
      </c>
      <c r="R226" s="28">
        <v>31.593333333333334</v>
      </c>
      <c r="S226" s="27">
        <v>70</v>
      </c>
      <c r="T226" s="29">
        <v>278.8</v>
      </c>
      <c r="U226" s="27">
        <v>205</v>
      </c>
      <c r="V226" s="27">
        <v>12</v>
      </c>
      <c r="W226" s="27">
        <v>77</v>
      </c>
      <c r="X226" s="29">
        <v>200</v>
      </c>
      <c r="Y226" s="27" t="s">
        <v>307</v>
      </c>
      <c r="Z226" s="27" t="s">
        <v>312</v>
      </c>
      <c r="AA226" s="29">
        <v>5</v>
      </c>
      <c r="AB226" s="29">
        <v>8</v>
      </c>
      <c r="AC226" s="29" t="s">
        <v>386</v>
      </c>
      <c r="AD226" s="29" t="s">
        <v>386</v>
      </c>
      <c r="AE226" s="29" t="s">
        <v>386</v>
      </c>
      <c r="AF226" s="29" t="s">
        <v>386</v>
      </c>
      <c r="AG226" s="27">
        <v>13</v>
      </c>
      <c r="AH226" s="27">
        <v>0</v>
      </c>
      <c r="AI226" s="27">
        <v>0</v>
      </c>
      <c r="AJ226" s="23" t="s">
        <v>184</v>
      </c>
      <c r="AK226" s="23" t="s">
        <v>277</v>
      </c>
      <c r="AL226" s="30" t="s">
        <v>273</v>
      </c>
      <c r="AM226" s="23"/>
      <c r="AN226" s="31" t="s">
        <v>219</v>
      </c>
      <c r="AO226" s="23" t="s">
        <v>66</v>
      </c>
      <c r="AP226" s="23" t="s">
        <v>71</v>
      </c>
      <c r="AQ226" s="34">
        <v>9000.0400000000009</v>
      </c>
      <c r="AR226" s="23" t="s">
        <v>275</v>
      </c>
      <c r="AS226" s="23">
        <v>90</v>
      </c>
      <c r="AT226" s="23">
        <v>0</v>
      </c>
      <c r="AU226" s="23">
        <v>4</v>
      </c>
    </row>
    <row r="227" spans="1:47">
      <c r="A227" s="26" t="s">
        <v>272</v>
      </c>
      <c r="B227" s="23" t="s">
        <v>55</v>
      </c>
      <c r="C227" s="23">
        <v>2</v>
      </c>
      <c r="D227" s="23"/>
      <c r="E227" s="23" t="s">
        <v>60</v>
      </c>
      <c r="F227" s="23" t="s">
        <v>302</v>
      </c>
      <c r="G227" s="27">
        <v>1991</v>
      </c>
      <c r="H227" s="27">
        <v>20</v>
      </c>
      <c r="I227" s="27">
        <v>25</v>
      </c>
      <c r="J227" s="27">
        <v>20</v>
      </c>
      <c r="K227" s="27">
        <v>14</v>
      </c>
      <c r="L227" s="27">
        <v>14</v>
      </c>
      <c r="M227" s="27"/>
      <c r="N227" s="27"/>
      <c r="O227" s="27"/>
      <c r="P227" s="28">
        <v>28</v>
      </c>
      <c r="Q227" s="28">
        <v>21.94</v>
      </c>
      <c r="R227" s="28">
        <v>31.593333333333334</v>
      </c>
      <c r="S227" s="27">
        <v>70</v>
      </c>
      <c r="T227" s="29">
        <v>278.8</v>
      </c>
      <c r="U227" s="27">
        <v>205</v>
      </c>
      <c r="V227" s="27">
        <v>12</v>
      </c>
      <c r="W227" s="27">
        <v>77</v>
      </c>
      <c r="X227" s="29">
        <v>200</v>
      </c>
      <c r="Y227" s="27" t="s">
        <v>308</v>
      </c>
      <c r="Z227" s="27" t="s">
        <v>308</v>
      </c>
      <c r="AA227" s="29">
        <v>5</v>
      </c>
      <c r="AB227" s="29">
        <v>8</v>
      </c>
      <c r="AC227" s="29" t="s">
        <v>386</v>
      </c>
      <c r="AD227" s="29" t="s">
        <v>386</v>
      </c>
      <c r="AE227" s="29" t="s">
        <v>386</v>
      </c>
      <c r="AF227" s="29" t="s">
        <v>386</v>
      </c>
      <c r="AG227" s="27">
        <v>13</v>
      </c>
      <c r="AH227" s="27">
        <v>0</v>
      </c>
      <c r="AI227" s="27">
        <v>0</v>
      </c>
      <c r="AJ227" s="23" t="s">
        <v>184</v>
      </c>
      <c r="AK227" s="23" t="s">
        <v>277</v>
      </c>
      <c r="AL227" s="30" t="s">
        <v>273</v>
      </c>
      <c r="AM227" s="23"/>
      <c r="AN227" s="31" t="s">
        <v>219</v>
      </c>
      <c r="AO227" s="23" t="s">
        <v>66</v>
      </c>
      <c r="AP227" s="23" t="s">
        <v>71</v>
      </c>
      <c r="AQ227" s="34">
        <v>9000.0499999999993</v>
      </c>
      <c r="AR227" s="23" t="s">
        <v>275</v>
      </c>
      <c r="AS227" s="23">
        <v>90</v>
      </c>
      <c r="AT227" s="23">
        <v>0</v>
      </c>
      <c r="AU227" s="23">
        <v>5</v>
      </c>
    </row>
    <row r="228" spans="1:47">
      <c r="A228" s="26" t="s">
        <v>276</v>
      </c>
      <c r="B228" s="23" t="s">
        <v>55</v>
      </c>
      <c r="C228" s="23">
        <v>2</v>
      </c>
      <c r="D228" s="23"/>
      <c r="E228" s="23" t="s">
        <v>274</v>
      </c>
      <c r="F228" s="23" t="s">
        <v>303</v>
      </c>
      <c r="G228" s="27">
        <v>1993</v>
      </c>
      <c r="H228" s="27">
        <v>20</v>
      </c>
      <c r="I228" s="27">
        <v>25</v>
      </c>
      <c r="J228" s="27">
        <v>20</v>
      </c>
      <c r="K228" s="27">
        <v>14</v>
      </c>
      <c r="L228" s="27">
        <v>14</v>
      </c>
      <c r="M228" s="27"/>
      <c r="N228" s="27"/>
      <c r="O228" s="27"/>
      <c r="P228" s="28">
        <v>28</v>
      </c>
      <c r="Q228" s="28">
        <v>28.070000000000004</v>
      </c>
      <c r="R228" s="28">
        <v>13.750000000000002</v>
      </c>
      <c r="S228" s="27">
        <v>70</v>
      </c>
      <c r="T228" s="29">
        <v>217.60000000000002</v>
      </c>
      <c r="U228" s="27">
        <v>160</v>
      </c>
      <c r="V228" s="27">
        <v>13</v>
      </c>
      <c r="W228" s="27">
        <v>66</v>
      </c>
      <c r="X228" s="29">
        <v>200</v>
      </c>
      <c r="Y228" s="27" t="s">
        <v>69</v>
      </c>
      <c r="Z228" s="27" t="s">
        <v>69</v>
      </c>
      <c r="AA228" s="29">
        <v>5</v>
      </c>
      <c r="AB228" s="29">
        <v>8</v>
      </c>
      <c r="AC228" s="29" t="s">
        <v>386</v>
      </c>
      <c r="AD228" s="29" t="s">
        <v>386</v>
      </c>
      <c r="AE228" s="29" t="s">
        <v>386</v>
      </c>
      <c r="AF228" s="29" t="s">
        <v>386</v>
      </c>
      <c r="AG228" s="27">
        <v>13</v>
      </c>
      <c r="AH228" s="27">
        <v>0</v>
      </c>
      <c r="AI228" s="27">
        <v>0</v>
      </c>
      <c r="AJ228" s="23" t="s">
        <v>184</v>
      </c>
      <c r="AK228" s="23" t="s">
        <v>277</v>
      </c>
      <c r="AL228" s="30" t="s">
        <v>278</v>
      </c>
      <c r="AM228" s="23"/>
      <c r="AN228" s="31" t="s">
        <v>219</v>
      </c>
      <c r="AO228" s="23" t="s">
        <v>66</v>
      </c>
      <c r="AP228" s="23" t="s">
        <v>71</v>
      </c>
      <c r="AQ228" s="34">
        <v>9001</v>
      </c>
      <c r="AR228" s="23" t="s">
        <v>78</v>
      </c>
      <c r="AS228" s="23">
        <v>90</v>
      </c>
      <c r="AT228" s="23">
        <v>1</v>
      </c>
      <c r="AU228" s="23">
        <v>0</v>
      </c>
    </row>
    <row r="229" spans="1:47">
      <c r="A229" s="26" t="s">
        <v>276</v>
      </c>
      <c r="B229" s="23" t="s">
        <v>55</v>
      </c>
      <c r="C229" s="23">
        <v>2</v>
      </c>
      <c r="D229" s="23"/>
      <c r="E229" s="23" t="s">
        <v>274</v>
      </c>
      <c r="F229" s="23" t="s">
        <v>303</v>
      </c>
      <c r="G229" s="27">
        <v>1993</v>
      </c>
      <c r="H229" s="27">
        <v>20</v>
      </c>
      <c r="I229" s="27">
        <v>25</v>
      </c>
      <c r="J229" s="27">
        <v>20</v>
      </c>
      <c r="K229" s="27">
        <v>14</v>
      </c>
      <c r="L229" s="27">
        <v>14</v>
      </c>
      <c r="M229" s="27"/>
      <c r="N229" s="27"/>
      <c r="O229" s="27"/>
      <c r="P229" s="28">
        <v>28</v>
      </c>
      <c r="Q229" s="28">
        <v>28.070000000000004</v>
      </c>
      <c r="R229" s="28">
        <v>13.73</v>
      </c>
      <c r="S229" s="27">
        <v>70</v>
      </c>
      <c r="T229" s="29">
        <v>217.60000000000002</v>
      </c>
      <c r="U229" s="27">
        <v>160</v>
      </c>
      <c r="V229" s="27">
        <v>13</v>
      </c>
      <c r="W229" s="27">
        <v>60</v>
      </c>
      <c r="X229" s="29">
        <v>200</v>
      </c>
      <c r="Y229" s="27" t="s">
        <v>304</v>
      </c>
      <c r="Z229" s="27" t="s">
        <v>356</v>
      </c>
      <c r="AA229" s="29">
        <v>5</v>
      </c>
      <c r="AB229" s="29">
        <v>8</v>
      </c>
      <c r="AC229" s="29" t="s">
        <v>386</v>
      </c>
      <c r="AD229" s="29" t="s">
        <v>386</v>
      </c>
      <c r="AE229" s="29" t="s">
        <v>386</v>
      </c>
      <c r="AF229" s="29" t="s">
        <v>386</v>
      </c>
      <c r="AG229" s="27">
        <v>13</v>
      </c>
      <c r="AH229" s="27">
        <v>0</v>
      </c>
      <c r="AI229" s="27">
        <v>0</v>
      </c>
      <c r="AJ229" s="23" t="s">
        <v>184</v>
      </c>
      <c r="AK229" s="23" t="s">
        <v>277</v>
      </c>
      <c r="AL229" s="30" t="s">
        <v>278</v>
      </c>
      <c r="AM229" s="23"/>
      <c r="AN229" s="31" t="s">
        <v>219</v>
      </c>
      <c r="AO229" s="23" t="s">
        <v>66</v>
      </c>
      <c r="AP229" s="23" t="s">
        <v>71</v>
      </c>
      <c r="AQ229" s="34">
        <v>9001.01</v>
      </c>
      <c r="AR229" s="23" t="s">
        <v>275</v>
      </c>
      <c r="AS229" s="23">
        <v>90</v>
      </c>
      <c r="AT229" s="23">
        <v>1</v>
      </c>
      <c r="AU229" s="23">
        <v>1</v>
      </c>
    </row>
    <row r="230" spans="1:47">
      <c r="A230" s="26" t="s">
        <v>344</v>
      </c>
      <c r="B230" s="23" t="s">
        <v>55</v>
      </c>
      <c r="C230" s="23">
        <v>2</v>
      </c>
      <c r="D230" s="23"/>
      <c r="E230" s="23" t="s">
        <v>61</v>
      </c>
      <c r="F230" s="23" t="s">
        <v>345</v>
      </c>
      <c r="G230" s="27">
        <v>2006</v>
      </c>
      <c r="H230" s="27">
        <v>20</v>
      </c>
      <c r="I230" s="27">
        <v>25</v>
      </c>
      <c r="J230" s="27">
        <v>20</v>
      </c>
      <c r="K230" s="27">
        <v>14</v>
      </c>
      <c r="L230" s="27">
        <v>14</v>
      </c>
      <c r="M230" s="27"/>
      <c r="N230" s="27"/>
      <c r="O230" s="27"/>
      <c r="P230" s="28">
        <v>28</v>
      </c>
      <c r="Q230" s="28">
        <v>27.128</v>
      </c>
      <c r="R230" s="28">
        <v>25.834666666666667</v>
      </c>
      <c r="S230" s="27">
        <v>70</v>
      </c>
      <c r="T230" s="29">
        <v>278.8</v>
      </c>
      <c r="U230" s="27">
        <v>205</v>
      </c>
      <c r="V230" s="27">
        <v>14</v>
      </c>
      <c r="W230" s="27">
        <v>77</v>
      </c>
      <c r="X230" s="29">
        <v>200</v>
      </c>
      <c r="Y230" s="27" t="s">
        <v>69</v>
      </c>
      <c r="Z230" s="27" t="s">
        <v>69</v>
      </c>
      <c r="AA230" s="29">
        <v>5</v>
      </c>
      <c r="AB230" s="29">
        <v>8</v>
      </c>
      <c r="AC230" s="29" t="s">
        <v>386</v>
      </c>
      <c r="AD230" s="29" t="s">
        <v>386</v>
      </c>
      <c r="AE230" s="29" t="s">
        <v>386</v>
      </c>
      <c r="AF230" s="29" t="s">
        <v>386</v>
      </c>
      <c r="AG230" s="27">
        <v>13</v>
      </c>
      <c r="AH230" s="27">
        <v>0</v>
      </c>
      <c r="AI230" s="27">
        <v>0</v>
      </c>
      <c r="AJ230" s="23" t="s">
        <v>184</v>
      </c>
      <c r="AK230" s="23" t="s">
        <v>277</v>
      </c>
      <c r="AL230" s="30" t="s">
        <v>346</v>
      </c>
      <c r="AM230" s="23"/>
      <c r="AN230" s="31" t="s">
        <v>219</v>
      </c>
      <c r="AO230" s="23" t="s">
        <v>66</v>
      </c>
      <c r="AP230" s="23" t="s">
        <v>71</v>
      </c>
      <c r="AQ230" s="34">
        <v>9002</v>
      </c>
      <c r="AR230" s="23" t="s">
        <v>78</v>
      </c>
      <c r="AS230" s="23">
        <v>90</v>
      </c>
      <c r="AT230" s="23">
        <v>2</v>
      </c>
      <c r="AU230" s="23">
        <v>0</v>
      </c>
    </row>
    <row r="231" spans="1:47">
      <c r="A231" s="26" t="s">
        <v>344</v>
      </c>
      <c r="B231" s="23" t="s">
        <v>55</v>
      </c>
      <c r="C231" s="23">
        <v>2</v>
      </c>
      <c r="D231" s="23"/>
      <c r="E231" s="23" t="s">
        <v>61</v>
      </c>
      <c r="F231" s="23" t="s">
        <v>345</v>
      </c>
      <c r="G231" s="27">
        <v>2006</v>
      </c>
      <c r="H231" s="27">
        <v>20</v>
      </c>
      <c r="I231" s="27">
        <v>25</v>
      </c>
      <c r="J231" s="27">
        <v>20</v>
      </c>
      <c r="K231" s="27">
        <v>14</v>
      </c>
      <c r="L231" s="27">
        <v>14</v>
      </c>
      <c r="M231" s="27"/>
      <c r="N231" s="27"/>
      <c r="O231" s="27"/>
      <c r="P231" s="28">
        <v>28</v>
      </c>
      <c r="Q231" s="28">
        <v>27.128</v>
      </c>
      <c r="R231" s="28">
        <v>25.834666666666667</v>
      </c>
      <c r="S231" s="27">
        <v>70</v>
      </c>
      <c r="T231" s="29">
        <v>278.8</v>
      </c>
      <c r="U231" s="27">
        <v>205</v>
      </c>
      <c r="V231" s="27">
        <v>14</v>
      </c>
      <c r="W231" s="27">
        <v>77</v>
      </c>
      <c r="X231" s="29">
        <v>200</v>
      </c>
      <c r="Y231" s="27" t="s">
        <v>308</v>
      </c>
      <c r="Z231" s="27" t="s">
        <v>308</v>
      </c>
      <c r="AA231" s="29">
        <v>5</v>
      </c>
      <c r="AB231" s="29">
        <v>8</v>
      </c>
      <c r="AC231" s="29" t="s">
        <v>386</v>
      </c>
      <c r="AD231" s="29" t="s">
        <v>386</v>
      </c>
      <c r="AE231" s="29" t="s">
        <v>386</v>
      </c>
      <c r="AF231" s="29" t="s">
        <v>386</v>
      </c>
      <c r="AG231" s="27">
        <v>13</v>
      </c>
      <c r="AH231" s="27">
        <v>0</v>
      </c>
      <c r="AI231" s="27">
        <v>0</v>
      </c>
      <c r="AJ231" s="23" t="s">
        <v>184</v>
      </c>
      <c r="AK231" s="23" t="s">
        <v>277</v>
      </c>
      <c r="AL231" s="30" t="s">
        <v>346</v>
      </c>
      <c r="AM231" s="23"/>
      <c r="AN231" s="31" t="s">
        <v>219</v>
      </c>
      <c r="AO231" s="23" t="s">
        <v>66</v>
      </c>
      <c r="AP231" s="23" t="s">
        <v>71</v>
      </c>
      <c r="AQ231" s="34">
        <v>9002.01</v>
      </c>
      <c r="AR231" s="23" t="s">
        <v>275</v>
      </c>
      <c r="AS231" s="23">
        <v>90</v>
      </c>
      <c r="AT231" s="23">
        <v>2</v>
      </c>
      <c r="AU231" s="23">
        <v>1</v>
      </c>
    </row>
    <row r="232" spans="1:47">
      <c r="A232" s="26" t="s">
        <v>347</v>
      </c>
      <c r="B232" s="23" t="s">
        <v>55</v>
      </c>
      <c r="C232" s="23">
        <v>2</v>
      </c>
      <c r="D232" s="23"/>
      <c r="E232" s="23" t="s">
        <v>60</v>
      </c>
      <c r="F232" s="23" t="s">
        <v>348</v>
      </c>
      <c r="G232" s="27">
        <v>2006</v>
      </c>
      <c r="H232" s="27">
        <v>20</v>
      </c>
      <c r="I232" s="27">
        <v>25</v>
      </c>
      <c r="J232" s="27">
        <v>20</v>
      </c>
      <c r="K232" s="27">
        <v>14</v>
      </c>
      <c r="L232" s="27">
        <v>14</v>
      </c>
      <c r="M232" s="27"/>
      <c r="N232" s="27"/>
      <c r="O232" s="27"/>
      <c r="P232" s="28">
        <v>28</v>
      </c>
      <c r="Q232" s="28">
        <v>22.44</v>
      </c>
      <c r="R232" s="28">
        <v>31.693333333333335</v>
      </c>
      <c r="S232" s="27">
        <v>70</v>
      </c>
      <c r="T232" s="29">
        <v>278.8</v>
      </c>
      <c r="U232" s="27">
        <v>205</v>
      </c>
      <c r="V232" s="27">
        <v>13</v>
      </c>
      <c r="W232" s="27">
        <v>77</v>
      </c>
      <c r="X232" s="29">
        <v>200</v>
      </c>
      <c r="Y232" s="27" t="s">
        <v>69</v>
      </c>
      <c r="Z232" s="27" t="s">
        <v>69</v>
      </c>
      <c r="AA232" s="29">
        <v>5</v>
      </c>
      <c r="AB232" s="29">
        <v>8</v>
      </c>
      <c r="AC232" s="29" t="s">
        <v>386</v>
      </c>
      <c r="AD232" s="29" t="s">
        <v>386</v>
      </c>
      <c r="AE232" s="29" t="s">
        <v>386</v>
      </c>
      <c r="AF232" s="29" t="s">
        <v>386</v>
      </c>
      <c r="AG232" s="27">
        <v>13</v>
      </c>
      <c r="AH232" s="27">
        <v>0</v>
      </c>
      <c r="AI232" s="27">
        <v>0</v>
      </c>
      <c r="AJ232" s="23" t="s">
        <v>184</v>
      </c>
      <c r="AK232" s="23" t="s">
        <v>277</v>
      </c>
      <c r="AL232" s="30" t="s">
        <v>349</v>
      </c>
      <c r="AM232" s="23"/>
      <c r="AN232" s="31" t="s">
        <v>219</v>
      </c>
      <c r="AO232" s="23" t="s">
        <v>66</v>
      </c>
      <c r="AP232" s="23" t="s">
        <v>71</v>
      </c>
      <c r="AQ232" s="34">
        <v>9003</v>
      </c>
      <c r="AR232" s="23" t="s">
        <v>78</v>
      </c>
      <c r="AS232" s="23">
        <v>90</v>
      </c>
      <c r="AT232" s="23">
        <v>3</v>
      </c>
      <c r="AU232" s="23">
        <v>0</v>
      </c>
    </row>
    <row r="233" spans="1:47">
      <c r="A233" s="26" t="s">
        <v>347</v>
      </c>
      <c r="B233" s="23" t="s">
        <v>55</v>
      </c>
      <c r="C233" s="23">
        <v>2</v>
      </c>
      <c r="D233" s="23"/>
      <c r="E233" s="23" t="s">
        <v>60</v>
      </c>
      <c r="F233" s="23" t="s">
        <v>348</v>
      </c>
      <c r="G233" s="27">
        <v>2006</v>
      </c>
      <c r="H233" s="27">
        <v>20</v>
      </c>
      <c r="I233" s="27">
        <v>25</v>
      </c>
      <c r="J233" s="27">
        <v>20</v>
      </c>
      <c r="K233" s="27">
        <v>14</v>
      </c>
      <c r="L233" s="27">
        <v>14</v>
      </c>
      <c r="M233" s="27"/>
      <c r="N233" s="27"/>
      <c r="O233" s="27"/>
      <c r="P233" s="28">
        <v>28</v>
      </c>
      <c r="Q233" s="28">
        <v>22.44</v>
      </c>
      <c r="R233" s="28">
        <v>31.693333333333335</v>
      </c>
      <c r="S233" s="27">
        <v>70</v>
      </c>
      <c r="T233" s="29">
        <v>278.8</v>
      </c>
      <c r="U233" s="27">
        <v>205</v>
      </c>
      <c r="V233" s="27">
        <v>13</v>
      </c>
      <c r="W233" s="27">
        <v>77</v>
      </c>
      <c r="X233" s="29">
        <v>200</v>
      </c>
      <c r="Y233" s="27" t="s">
        <v>308</v>
      </c>
      <c r="Z233" s="27" t="s">
        <v>308</v>
      </c>
      <c r="AA233" s="29">
        <v>5</v>
      </c>
      <c r="AB233" s="29">
        <v>8</v>
      </c>
      <c r="AC233" s="29" t="s">
        <v>386</v>
      </c>
      <c r="AD233" s="29" t="s">
        <v>386</v>
      </c>
      <c r="AE233" s="29" t="s">
        <v>386</v>
      </c>
      <c r="AF233" s="29" t="s">
        <v>386</v>
      </c>
      <c r="AG233" s="27">
        <v>13</v>
      </c>
      <c r="AH233" s="27">
        <v>0</v>
      </c>
      <c r="AI233" s="27">
        <v>0</v>
      </c>
      <c r="AJ233" s="23" t="s">
        <v>184</v>
      </c>
      <c r="AK233" s="23" t="s">
        <v>277</v>
      </c>
      <c r="AL233" s="30" t="s">
        <v>349</v>
      </c>
      <c r="AM233" s="23"/>
      <c r="AN233" s="31" t="s">
        <v>219</v>
      </c>
      <c r="AO233" s="23" t="s">
        <v>66</v>
      </c>
      <c r="AP233" s="23" t="s">
        <v>71</v>
      </c>
      <c r="AQ233" s="34">
        <v>9003.01</v>
      </c>
      <c r="AR233" s="23" t="s">
        <v>275</v>
      </c>
      <c r="AS233" s="23">
        <v>90</v>
      </c>
      <c r="AT233" s="23">
        <v>3</v>
      </c>
      <c r="AU233" s="23">
        <v>1</v>
      </c>
    </row>
    <row r="234" spans="1:47">
      <c r="A234" s="26" t="s">
        <v>350</v>
      </c>
      <c r="B234" s="23" t="s">
        <v>55</v>
      </c>
      <c r="C234" s="23">
        <v>2</v>
      </c>
      <c r="D234" s="23"/>
      <c r="E234" s="23" t="s">
        <v>61</v>
      </c>
      <c r="F234" s="23" t="s">
        <v>351</v>
      </c>
      <c r="G234" s="27">
        <v>2012</v>
      </c>
      <c r="H234" s="27">
        <v>20</v>
      </c>
      <c r="I234" s="27">
        <v>25</v>
      </c>
      <c r="J234" s="27">
        <v>20</v>
      </c>
      <c r="K234" s="27">
        <v>14</v>
      </c>
      <c r="L234" s="27">
        <v>14</v>
      </c>
      <c r="M234" s="27"/>
      <c r="N234" s="27"/>
      <c r="O234" s="27"/>
      <c r="P234" s="28">
        <v>28</v>
      </c>
      <c r="Q234" s="28">
        <v>26.528000000000002</v>
      </c>
      <c r="R234" s="28">
        <v>25.776</v>
      </c>
      <c r="S234" s="27">
        <v>70</v>
      </c>
      <c r="T234" s="29">
        <v>278.8</v>
      </c>
      <c r="U234" s="27">
        <v>205</v>
      </c>
      <c r="V234" s="27">
        <v>13</v>
      </c>
      <c r="W234" s="27">
        <v>81</v>
      </c>
      <c r="X234" s="29">
        <v>200</v>
      </c>
      <c r="Y234" s="27" t="s">
        <v>69</v>
      </c>
      <c r="Z234" s="27" t="s">
        <v>69</v>
      </c>
      <c r="AA234" s="29">
        <v>5</v>
      </c>
      <c r="AB234" s="29">
        <v>8</v>
      </c>
      <c r="AC234" s="29" t="s">
        <v>386</v>
      </c>
      <c r="AD234" s="29" t="s">
        <v>386</v>
      </c>
      <c r="AE234" s="29" t="s">
        <v>386</v>
      </c>
      <c r="AF234" s="29" t="s">
        <v>386</v>
      </c>
      <c r="AG234" s="27">
        <v>13</v>
      </c>
      <c r="AH234" s="27">
        <v>0</v>
      </c>
      <c r="AI234" s="27">
        <v>0</v>
      </c>
      <c r="AJ234" s="23" t="s">
        <v>184</v>
      </c>
      <c r="AK234" s="23" t="s">
        <v>277</v>
      </c>
      <c r="AL234" s="30" t="s">
        <v>352</v>
      </c>
      <c r="AM234" s="23"/>
      <c r="AN234" s="31" t="s">
        <v>219</v>
      </c>
      <c r="AO234" s="23" t="s">
        <v>66</v>
      </c>
      <c r="AP234" s="23" t="s">
        <v>71</v>
      </c>
      <c r="AQ234" s="34">
        <v>9004</v>
      </c>
      <c r="AR234" s="23" t="s">
        <v>78</v>
      </c>
      <c r="AS234" s="23">
        <v>90</v>
      </c>
      <c r="AT234" s="23">
        <v>4</v>
      </c>
      <c r="AU234" s="23">
        <v>0</v>
      </c>
    </row>
    <row r="235" spans="1:47">
      <c r="A235" s="26" t="s">
        <v>350</v>
      </c>
      <c r="B235" s="23" t="s">
        <v>55</v>
      </c>
      <c r="C235" s="23">
        <v>2</v>
      </c>
      <c r="D235" s="23"/>
      <c r="E235" s="23" t="s">
        <v>61</v>
      </c>
      <c r="F235" s="23" t="s">
        <v>351</v>
      </c>
      <c r="G235" s="27">
        <v>2012</v>
      </c>
      <c r="H235" s="27">
        <v>20</v>
      </c>
      <c r="I235" s="27">
        <v>25</v>
      </c>
      <c r="J235" s="27">
        <v>20</v>
      </c>
      <c r="K235" s="27">
        <v>14</v>
      </c>
      <c r="L235" s="27">
        <v>14</v>
      </c>
      <c r="M235" s="27"/>
      <c r="N235" s="27"/>
      <c r="O235" s="27"/>
      <c r="P235" s="28">
        <v>28</v>
      </c>
      <c r="Q235" s="28">
        <v>26.528000000000002</v>
      </c>
      <c r="R235" s="28">
        <v>25.776</v>
      </c>
      <c r="S235" s="27">
        <v>70</v>
      </c>
      <c r="T235" s="29">
        <v>278.8</v>
      </c>
      <c r="U235" s="27">
        <v>205</v>
      </c>
      <c r="V235" s="27">
        <v>13</v>
      </c>
      <c r="W235" s="27">
        <v>81</v>
      </c>
      <c r="X235" s="29">
        <v>200</v>
      </c>
      <c r="Y235" s="27" t="s">
        <v>353</v>
      </c>
      <c r="Z235" s="27" t="s">
        <v>353</v>
      </c>
      <c r="AA235" s="29">
        <v>5</v>
      </c>
      <c r="AB235" s="29">
        <v>8</v>
      </c>
      <c r="AC235" s="29" t="s">
        <v>386</v>
      </c>
      <c r="AD235" s="29" t="s">
        <v>386</v>
      </c>
      <c r="AE235" s="29" t="s">
        <v>386</v>
      </c>
      <c r="AF235" s="29" t="s">
        <v>386</v>
      </c>
      <c r="AG235" s="27">
        <v>13</v>
      </c>
      <c r="AH235" s="27">
        <v>0</v>
      </c>
      <c r="AI235" s="27">
        <v>0</v>
      </c>
      <c r="AJ235" s="23" t="s">
        <v>184</v>
      </c>
      <c r="AK235" s="23" t="s">
        <v>277</v>
      </c>
      <c r="AL235" s="30" t="s">
        <v>352</v>
      </c>
      <c r="AM235" s="23"/>
      <c r="AN235" s="31" t="s">
        <v>219</v>
      </c>
      <c r="AO235" s="23" t="s">
        <v>66</v>
      </c>
      <c r="AP235" s="23" t="s">
        <v>71</v>
      </c>
      <c r="AQ235" s="34">
        <v>9004.01</v>
      </c>
      <c r="AR235" s="23" t="s">
        <v>275</v>
      </c>
      <c r="AS235" s="23">
        <v>90</v>
      </c>
      <c r="AT235" s="23">
        <v>4</v>
      </c>
      <c r="AU235" s="23">
        <v>1</v>
      </c>
    </row>
    <row r="236" spans="1:47">
      <c r="A236" s="26" t="s">
        <v>350</v>
      </c>
      <c r="B236" s="23" t="s">
        <v>55</v>
      </c>
      <c r="C236" s="23">
        <v>2</v>
      </c>
      <c r="D236" s="23"/>
      <c r="E236" s="23" t="s">
        <v>61</v>
      </c>
      <c r="F236" s="23" t="s">
        <v>351</v>
      </c>
      <c r="G236" s="27">
        <v>2012</v>
      </c>
      <c r="H236" s="27">
        <v>20</v>
      </c>
      <c r="I236" s="27">
        <v>25</v>
      </c>
      <c r="J236" s="27">
        <v>20</v>
      </c>
      <c r="K236" s="27">
        <v>14</v>
      </c>
      <c r="L236" s="27">
        <v>14</v>
      </c>
      <c r="M236" s="27"/>
      <c r="N236" s="27"/>
      <c r="O236" s="27"/>
      <c r="P236" s="28">
        <v>28</v>
      </c>
      <c r="Q236" s="28">
        <v>26.528000000000002</v>
      </c>
      <c r="R236" s="28">
        <v>25.776</v>
      </c>
      <c r="S236" s="27">
        <v>70</v>
      </c>
      <c r="T236" s="29">
        <v>278.8</v>
      </c>
      <c r="U236" s="27">
        <v>205</v>
      </c>
      <c r="V236" s="27">
        <v>13</v>
      </c>
      <c r="W236" s="27">
        <v>81</v>
      </c>
      <c r="X236" s="29">
        <v>200</v>
      </c>
      <c r="Y236" s="27" t="s">
        <v>355</v>
      </c>
      <c r="Z236" s="27" t="s">
        <v>308</v>
      </c>
      <c r="AA236" s="29">
        <v>5</v>
      </c>
      <c r="AB236" s="29">
        <v>8</v>
      </c>
      <c r="AC236" s="29" t="s">
        <v>386</v>
      </c>
      <c r="AD236" s="29" t="s">
        <v>386</v>
      </c>
      <c r="AE236" s="29" t="s">
        <v>386</v>
      </c>
      <c r="AF236" s="29" t="s">
        <v>386</v>
      </c>
      <c r="AG236" s="27">
        <v>13</v>
      </c>
      <c r="AH236" s="27">
        <v>0</v>
      </c>
      <c r="AI236" s="27">
        <v>0</v>
      </c>
      <c r="AJ236" s="23" t="s">
        <v>184</v>
      </c>
      <c r="AK236" s="23" t="s">
        <v>277</v>
      </c>
      <c r="AL236" s="30" t="s">
        <v>352</v>
      </c>
      <c r="AM236" s="23"/>
      <c r="AN236" s="31" t="s">
        <v>219</v>
      </c>
      <c r="AO236" s="23" t="s">
        <v>66</v>
      </c>
      <c r="AP236" s="23" t="s">
        <v>71</v>
      </c>
      <c r="AQ236" s="34">
        <v>9004.02</v>
      </c>
      <c r="AR236" s="23" t="s">
        <v>275</v>
      </c>
      <c r="AS236" s="23">
        <v>90</v>
      </c>
      <c r="AT236" s="23">
        <v>4</v>
      </c>
      <c r="AU236" s="23">
        <v>2</v>
      </c>
    </row>
    <row r="237" spans="1:47">
      <c r="A237" s="26" t="s">
        <v>350</v>
      </c>
      <c r="B237" s="23" t="s">
        <v>55</v>
      </c>
      <c r="C237" s="23">
        <v>2</v>
      </c>
      <c r="D237" s="23"/>
      <c r="E237" s="23" t="s">
        <v>61</v>
      </c>
      <c r="F237" s="23" t="s">
        <v>351</v>
      </c>
      <c r="G237" s="27">
        <v>2012</v>
      </c>
      <c r="H237" s="27">
        <v>20</v>
      </c>
      <c r="I237" s="27">
        <v>25</v>
      </c>
      <c r="J237" s="27">
        <v>20</v>
      </c>
      <c r="K237" s="27">
        <v>14</v>
      </c>
      <c r="L237" s="27">
        <v>14</v>
      </c>
      <c r="M237" s="27"/>
      <c r="N237" s="27"/>
      <c r="O237" s="27"/>
      <c r="P237" s="28">
        <v>28</v>
      </c>
      <c r="Q237" s="28">
        <v>26.528000000000002</v>
      </c>
      <c r="R237" s="28">
        <v>25.776</v>
      </c>
      <c r="S237" s="27">
        <v>70</v>
      </c>
      <c r="T237" s="29">
        <v>278.8</v>
      </c>
      <c r="U237" s="27">
        <v>205</v>
      </c>
      <c r="V237" s="27">
        <v>13</v>
      </c>
      <c r="W237" s="27">
        <v>81</v>
      </c>
      <c r="X237" s="29">
        <v>200</v>
      </c>
      <c r="Y237" s="27" t="s">
        <v>354</v>
      </c>
      <c r="Z237" s="27" t="s">
        <v>308</v>
      </c>
      <c r="AA237" s="29">
        <v>5</v>
      </c>
      <c r="AB237" s="29">
        <v>8</v>
      </c>
      <c r="AC237" s="29" t="s">
        <v>386</v>
      </c>
      <c r="AD237" s="29" t="s">
        <v>386</v>
      </c>
      <c r="AE237" s="29" t="s">
        <v>386</v>
      </c>
      <c r="AF237" s="29" t="s">
        <v>386</v>
      </c>
      <c r="AG237" s="27">
        <v>13</v>
      </c>
      <c r="AH237" s="27">
        <v>0</v>
      </c>
      <c r="AI237" s="27">
        <v>0</v>
      </c>
      <c r="AJ237" s="23" t="s">
        <v>184</v>
      </c>
      <c r="AK237" s="23" t="s">
        <v>277</v>
      </c>
      <c r="AL237" s="30" t="s">
        <v>352</v>
      </c>
      <c r="AM237" s="23"/>
      <c r="AN237" s="31" t="s">
        <v>219</v>
      </c>
      <c r="AO237" s="23" t="s">
        <v>66</v>
      </c>
      <c r="AP237" s="23" t="s">
        <v>71</v>
      </c>
      <c r="AQ237" s="34">
        <v>9004.0300000000007</v>
      </c>
      <c r="AR237" s="23" t="s">
        <v>275</v>
      </c>
      <c r="AS237" s="23">
        <v>90</v>
      </c>
      <c r="AT237" s="23">
        <v>4</v>
      </c>
      <c r="AU237" s="23">
        <v>3</v>
      </c>
    </row>
    <row r="238" spans="1:47">
      <c r="A238" s="26" t="s">
        <v>350</v>
      </c>
      <c r="B238" s="23" t="s">
        <v>55</v>
      </c>
      <c r="C238" s="23">
        <v>2</v>
      </c>
      <c r="D238" s="23"/>
      <c r="E238" s="23" t="s">
        <v>61</v>
      </c>
      <c r="F238" s="23" t="s">
        <v>351</v>
      </c>
      <c r="G238" s="27">
        <v>2012</v>
      </c>
      <c r="H238" s="27">
        <v>20</v>
      </c>
      <c r="I238" s="27">
        <v>25</v>
      </c>
      <c r="J238" s="27">
        <v>20</v>
      </c>
      <c r="K238" s="27">
        <v>14</v>
      </c>
      <c r="L238" s="27">
        <v>14</v>
      </c>
      <c r="M238" s="27"/>
      <c r="N238" s="27"/>
      <c r="O238" s="27"/>
      <c r="P238" s="28">
        <v>28</v>
      </c>
      <c r="Q238" s="28">
        <v>26.528000000000002</v>
      </c>
      <c r="R238" s="28">
        <v>25.776</v>
      </c>
      <c r="S238" s="27">
        <v>70</v>
      </c>
      <c r="T238" s="29">
        <v>278.8</v>
      </c>
      <c r="U238" s="27">
        <v>205</v>
      </c>
      <c r="V238" s="27">
        <v>13</v>
      </c>
      <c r="W238" s="27">
        <v>81</v>
      </c>
      <c r="X238" s="29">
        <v>200</v>
      </c>
      <c r="Y238" s="27" t="s">
        <v>304</v>
      </c>
      <c r="Z238" s="27" t="s">
        <v>356</v>
      </c>
      <c r="AA238" s="29">
        <v>5</v>
      </c>
      <c r="AB238" s="29">
        <v>8</v>
      </c>
      <c r="AC238" s="29" t="s">
        <v>386</v>
      </c>
      <c r="AD238" s="29" t="s">
        <v>386</v>
      </c>
      <c r="AE238" s="29" t="s">
        <v>386</v>
      </c>
      <c r="AF238" s="29" t="s">
        <v>386</v>
      </c>
      <c r="AG238" s="27">
        <v>13</v>
      </c>
      <c r="AH238" s="27">
        <v>0</v>
      </c>
      <c r="AI238" s="27">
        <v>0</v>
      </c>
      <c r="AJ238" s="23" t="s">
        <v>184</v>
      </c>
      <c r="AK238" s="23" t="s">
        <v>277</v>
      </c>
      <c r="AL238" s="30" t="s">
        <v>352</v>
      </c>
      <c r="AM238" s="23"/>
      <c r="AN238" s="31" t="s">
        <v>219</v>
      </c>
      <c r="AO238" s="23" t="s">
        <v>66</v>
      </c>
      <c r="AP238" s="23" t="s">
        <v>71</v>
      </c>
      <c r="AQ238" s="34">
        <v>9004.0400000000009</v>
      </c>
      <c r="AR238" s="23" t="s">
        <v>275</v>
      </c>
      <c r="AS238" s="23">
        <v>90</v>
      </c>
      <c r="AT238" s="23">
        <v>4</v>
      </c>
      <c r="AU238" s="23">
        <v>4</v>
      </c>
    </row>
    <row r="239" spans="1:47">
      <c r="A239" s="26" t="s">
        <v>350</v>
      </c>
      <c r="B239" s="23" t="s">
        <v>55</v>
      </c>
      <c r="C239" s="23">
        <v>2</v>
      </c>
      <c r="D239" s="23"/>
      <c r="E239" s="23" t="s">
        <v>61</v>
      </c>
      <c r="F239" s="23" t="s">
        <v>351</v>
      </c>
      <c r="G239" s="27">
        <v>2012</v>
      </c>
      <c r="H239" s="27">
        <v>20</v>
      </c>
      <c r="I239" s="27">
        <v>25</v>
      </c>
      <c r="J239" s="27">
        <v>20</v>
      </c>
      <c r="K239" s="27">
        <v>14</v>
      </c>
      <c r="L239" s="27">
        <v>14</v>
      </c>
      <c r="M239" s="27"/>
      <c r="N239" s="27"/>
      <c r="O239" s="27"/>
      <c r="P239" s="28">
        <v>28</v>
      </c>
      <c r="Q239" s="28">
        <v>26.528000000000002</v>
      </c>
      <c r="R239" s="28">
        <v>25.776</v>
      </c>
      <c r="S239" s="27">
        <v>70</v>
      </c>
      <c r="T239" s="29">
        <v>278.8</v>
      </c>
      <c r="U239" s="27">
        <v>205</v>
      </c>
      <c r="V239" s="27">
        <v>13</v>
      </c>
      <c r="W239" s="27">
        <v>81</v>
      </c>
      <c r="X239" s="29">
        <v>200</v>
      </c>
      <c r="Y239" s="27" t="s">
        <v>305</v>
      </c>
      <c r="Z239" s="27" t="s">
        <v>356</v>
      </c>
      <c r="AA239" s="29">
        <v>5</v>
      </c>
      <c r="AB239" s="29">
        <v>8</v>
      </c>
      <c r="AC239" s="29" t="s">
        <v>386</v>
      </c>
      <c r="AD239" s="29" t="s">
        <v>386</v>
      </c>
      <c r="AE239" s="29" t="s">
        <v>386</v>
      </c>
      <c r="AF239" s="29" t="s">
        <v>386</v>
      </c>
      <c r="AG239" s="27">
        <v>13</v>
      </c>
      <c r="AH239" s="27">
        <v>0</v>
      </c>
      <c r="AI239" s="27">
        <v>0</v>
      </c>
      <c r="AJ239" s="23" t="s">
        <v>184</v>
      </c>
      <c r="AK239" s="23" t="s">
        <v>277</v>
      </c>
      <c r="AL239" s="30" t="s">
        <v>352</v>
      </c>
      <c r="AM239" s="23"/>
      <c r="AN239" s="31" t="s">
        <v>219</v>
      </c>
      <c r="AO239" s="23" t="s">
        <v>66</v>
      </c>
      <c r="AP239" s="23" t="s">
        <v>71</v>
      </c>
      <c r="AQ239" s="34">
        <v>9004.0499999999993</v>
      </c>
      <c r="AR239" s="23" t="s">
        <v>275</v>
      </c>
      <c r="AS239" s="23">
        <v>90</v>
      </c>
      <c r="AT239" s="23">
        <v>4</v>
      </c>
      <c r="AU239" s="23">
        <v>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2EB64-3C9B-49A1-A2BE-C39B89F1FE5D}">
  <dimension ref="A1:AU260"/>
  <sheetViews>
    <sheetView tabSelected="1" zoomScale="80" zoomScaleNormal="80" workbookViewId="0">
      <pane ySplit="1" topLeftCell="A2" activePane="bottomLeft" state="frozen"/>
      <selection pane="bottomLeft" activeCell="F264" sqref="F264"/>
    </sheetView>
  </sheetViews>
  <sheetFormatPr defaultColWidth="9.09765625" defaultRowHeight="13.2"/>
  <cols>
    <col min="1" max="1" width="24.5" style="23" customWidth="1"/>
    <col min="2" max="2" width="6.8984375" style="23" customWidth="1"/>
    <col min="3" max="3" width="3.09765625" style="23" bestFit="1" customWidth="1"/>
    <col min="4" max="4" width="2.796875" style="23" customWidth="1"/>
    <col min="5" max="5" width="10" style="23" bestFit="1" customWidth="1"/>
    <col min="6" max="6" width="19.296875" style="23" bestFit="1" customWidth="1"/>
    <col min="7" max="9" width="5.5" style="27" bestFit="1" customWidth="1"/>
    <col min="10" max="10" width="3.09765625" style="27" bestFit="1" customWidth="1"/>
    <col min="11" max="15" width="5.5" style="27" bestFit="1" customWidth="1"/>
    <col min="16" max="16" width="9" style="29" customWidth="1"/>
    <col min="17" max="17" width="6.5" style="29" bestFit="1" customWidth="1"/>
    <col min="18" max="18" width="5.5" style="29" bestFit="1" customWidth="1"/>
    <col min="19" max="19" width="5.5" style="27" bestFit="1" customWidth="1"/>
    <col min="20" max="20" width="3.796875" style="29" bestFit="1" customWidth="1"/>
    <col min="21" max="21" width="3.796875" style="27" bestFit="1" customWidth="1"/>
    <col min="22" max="22" width="3.69921875" style="27" bestFit="1" customWidth="1"/>
    <col min="23" max="23" width="3.796875" style="27" bestFit="1" customWidth="1"/>
    <col min="24" max="24" width="7.796875" style="29" bestFit="1" customWidth="1"/>
    <col min="25" max="25" width="9.296875" style="27" bestFit="1" customWidth="1"/>
    <col min="26" max="26" width="14.19921875" style="27" customWidth="1"/>
    <col min="27" max="32" width="4.69921875" style="29" customWidth="1"/>
    <col min="33" max="35" width="4.69921875" style="27" customWidth="1"/>
    <col min="36" max="36" width="17.59765625" style="23" bestFit="1" customWidth="1"/>
    <col min="37" max="37" width="21" style="23" bestFit="1" customWidth="1"/>
    <col min="38" max="38" width="5" style="30" customWidth="1"/>
    <col min="39" max="39" width="6.3984375" style="23" customWidth="1"/>
    <col min="40" max="40" width="9.09765625" style="31"/>
    <col min="41" max="41" width="15.59765625" style="23" bestFit="1" customWidth="1"/>
    <col min="42" max="42" width="9.09765625" style="23"/>
    <col min="43" max="43" width="12.69921875" style="23" customWidth="1"/>
    <col min="44" max="44" width="9.09765625" style="34"/>
    <col min="45" max="47" width="4" style="23" customWidth="1"/>
    <col min="48" max="16384" width="9.09765625" style="23"/>
  </cols>
  <sheetData>
    <row r="1" spans="1:47" s="24" customFormat="1" ht="83.25" customHeight="1">
      <c r="A1" s="24" t="s">
        <v>57</v>
      </c>
      <c r="B1" s="24" t="s">
        <v>269</v>
      </c>
      <c r="C1" s="24" t="s">
        <v>50</v>
      </c>
      <c r="E1" s="24" t="s">
        <v>238</v>
      </c>
      <c r="F1" s="24" t="s">
        <v>235</v>
      </c>
      <c r="G1" s="24" t="s">
        <v>236</v>
      </c>
      <c r="H1" s="24" t="s">
        <v>237</v>
      </c>
      <c r="I1" s="24" t="s">
        <v>239</v>
      </c>
      <c r="J1" s="24" t="s">
        <v>240</v>
      </c>
      <c r="K1" s="24" t="s">
        <v>260</v>
      </c>
      <c r="L1" s="24" t="s">
        <v>261</v>
      </c>
      <c r="M1" s="24" t="s">
        <v>262</v>
      </c>
      <c r="N1" s="24" t="s">
        <v>263</v>
      </c>
      <c r="O1" s="24" t="s">
        <v>264</v>
      </c>
      <c r="P1" s="25" t="s">
        <v>265</v>
      </c>
      <c r="Q1" s="25" t="s">
        <v>241</v>
      </c>
      <c r="R1" s="25" t="s">
        <v>242</v>
      </c>
      <c r="S1" s="24" t="s">
        <v>248</v>
      </c>
      <c r="T1" s="25" t="s">
        <v>247</v>
      </c>
      <c r="U1" s="24" t="s">
        <v>243</v>
      </c>
      <c r="V1" s="24" t="s">
        <v>246</v>
      </c>
      <c r="W1" s="24" t="s">
        <v>245</v>
      </c>
      <c r="X1" s="25" t="s">
        <v>244</v>
      </c>
      <c r="Y1" s="24" t="s">
        <v>58</v>
      </c>
      <c r="Z1" s="24" t="s">
        <v>311</v>
      </c>
      <c r="AA1" s="25" t="s">
        <v>249</v>
      </c>
      <c r="AB1" s="25" t="s">
        <v>250</v>
      </c>
      <c r="AC1" s="25" t="s">
        <v>251</v>
      </c>
      <c r="AD1" s="25" t="s">
        <v>252</v>
      </c>
      <c r="AE1" s="25" t="s">
        <v>253</v>
      </c>
      <c r="AF1" s="25" t="s">
        <v>254</v>
      </c>
      <c r="AG1" s="24" t="s">
        <v>266</v>
      </c>
      <c r="AH1" s="24" t="s">
        <v>267</v>
      </c>
      <c r="AI1" s="24" t="s">
        <v>268</v>
      </c>
      <c r="AJ1" s="24" t="s">
        <v>255</v>
      </c>
      <c r="AK1" s="24" t="s">
        <v>68</v>
      </c>
      <c r="AL1" s="24" t="s">
        <v>256</v>
      </c>
      <c r="AM1" s="24" t="s">
        <v>257</v>
      </c>
      <c r="AN1" s="25" t="s">
        <v>259</v>
      </c>
      <c r="AO1" s="24" t="s">
        <v>258</v>
      </c>
      <c r="AP1" s="24" t="s">
        <v>70</v>
      </c>
      <c r="AQ1" s="24" t="s">
        <v>190</v>
      </c>
      <c r="AR1" s="33" t="s">
        <v>90</v>
      </c>
      <c r="AS1" s="24" t="s">
        <v>224</v>
      </c>
      <c r="AT1" s="24" t="s">
        <v>223</v>
      </c>
      <c r="AU1" s="24" t="s">
        <v>225</v>
      </c>
    </row>
    <row r="2" spans="1:47">
      <c r="A2" s="23" t="s">
        <v>337</v>
      </c>
      <c r="C2" s="23">
        <v>2</v>
      </c>
      <c r="E2" s="23" t="s">
        <v>340</v>
      </c>
      <c r="F2" s="23" t="s">
        <v>341</v>
      </c>
      <c r="G2" s="27">
        <v>1926</v>
      </c>
      <c r="H2" s="27">
        <v>20</v>
      </c>
      <c r="I2" s="27">
        <v>25</v>
      </c>
      <c r="J2" s="27">
        <v>20</v>
      </c>
      <c r="K2" s="27">
        <v>5</v>
      </c>
      <c r="L2" s="27">
        <v>5</v>
      </c>
      <c r="P2" s="28">
        <f t="shared" ref="P2:P74" si="0">SUM(K2:O2)</f>
        <v>10</v>
      </c>
      <c r="Q2" s="28">
        <f t="shared" ref="Q2:Q74" si="1">IF(OR(E2="diesel", E2="petrol"), ((V2+(T2/10))/2)+(P2/14), IF(OR(E2="cng", E2="hybrid"), ((V2+(T2/10))/2*1.2)+(P2/14), IF(OR(E2="hydrogen", E2="electric"), ((V2+(T2/10))/2*1.5)+(P2/14), 0)))</f>
        <v>4.9269357142857144</v>
      </c>
      <c r="R2" s="28">
        <f t="shared" ref="R2:R74" si="2">IF(E2="petrol", ((V2+(W2/15)+T2)/10*1.5)+(P2/14), IF(E2="diesel", ((V2+(W2/15)+T2)/10)+(P2/14), IF(OR(E2="cng", E2="hybrid"), ((V2+(W2/15)+T2)/10*0.8)+(P2/14), IF(OR(E2="hydrogen", E2="electric"), ((V2+(W2/15)+T2)/10*0.5)+(P2/14), 0))))</f>
        <v>8.2922357142857148</v>
      </c>
      <c r="S2" s="27">
        <v>45</v>
      </c>
      <c r="T2" s="29">
        <f>U2*1.341</f>
        <v>44.253</v>
      </c>
      <c r="U2" s="27">
        <v>33</v>
      </c>
      <c r="V2" s="27">
        <v>4</v>
      </c>
      <c r="W2" s="27">
        <v>34</v>
      </c>
      <c r="X2" s="29">
        <f>IF(AP2="Regional", 185, IF(AP2="Intercity", 150, IF(AP2="Tourist", 100, 200)))</f>
        <v>200</v>
      </c>
      <c r="Y2" s="27" t="s">
        <v>69</v>
      </c>
      <c r="Z2" s="27" t="s">
        <v>69</v>
      </c>
      <c r="AA2" s="29">
        <f t="shared" ref="AA2:AA74" si="3">IF(AG2&gt;8, AG2-8, AG2)</f>
        <v>7</v>
      </c>
      <c r="AB2" s="29" t="str">
        <f t="shared" ref="AB2:AB74" si="4">IF(AG2&gt;8, 8, "")</f>
        <v/>
      </c>
      <c r="AC2" s="29" t="str">
        <f t="shared" ref="AC2:AC74" si="5">IF(AH2&gt;8, AH2-8, IF(AH2=0, "", AH2))</f>
        <v/>
      </c>
      <c r="AD2" s="29" t="str">
        <f t="shared" ref="AD2:AD74" si="6">IF(AH2&gt;8, 8, "")</f>
        <v/>
      </c>
      <c r="AE2" s="29" t="str">
        <f t="shared" ref="AE2:AE74" si="7">IF(AI2&gt;8, AI2-8, IF(AI2=0, "", AI2))</f>
        <v/>
      </c>
      <c r="AF2" s="29" t="str">
        <f t="shared" ref="AF2:AF74" si="8">IF(AI2&gt;8, 8, "")</f>
        <v/>
      </c>
      <c r="AG2" s="27">
        <v>7</v>
      </c>
      <c r="AH2" s="27">
        <v>0</v>
      </c>
      <c r="AI2" s="27">
        <v>0</v>
      </c>
      <c r="AJ2" s="23" t="s">
        <v>339</v>
      </c>
      <c r="AK2" s="23" t="s">
        <v>338</v>
      </c>
      <c r="AN2" s="31" t="str">
        <f>IF(O2&gt;0, "5 doors", IF(N2&gt;0, "4 doors", IF(M2&gt;0, "3 doors", IF(L2&gt;0, "2 doors", "1 door"))))</f>
        <v>2 doors</v>
      </c>
      <c r="AO2" s="23" t="s">
        <v>343</v>
      </c>
      <c r="AP2" s="23" t="s">
        <v>71</v>
      </c>
      <c r="AQ2" s="23" t="s">
        <v>78</v>
      </c>
      <c r="AR2" s="34">
        <f t="shared" ref="AR2:AR16" si="9">(AS2*100)+AT2+(AU2/100)</f>
        <v>1000</v>
      </c>
      <c r="AS2" s="23">
        <v>10</v>
      </c>
      <c r="AT2" s="23">
        <v>0</v>
      </c>
      <c r="AU2" s="23">
        <v>0</v>
      </c>
    </row>
    <row r="3" spans="1:47">
      <c r="A3" s="23" t="s">
        <v>337</v>
      </c>
      <c r="C3" s="23">
        <v>1</v>
      </c>
      <c r="E3" s="23" t="s">
        <v>340</v>
      </c>
      <c r="F3" s="23" t="s">
        <v>342</v>
      </c>
      <c r="G3" s="27">
        <v>1926</v>
      </c>
      <c r="H3" s="27">
        <v>20</v>
      </c>
      <c r="I3" s="27">
        <v>25</v>
      </c>
      <c r="J3" s="27">
        <v>20</v>
      </c>
      <c r="K3" s="27">
        <v>5</v>
      </c>
      <c r="P3" s="28">
        <f t="shared" si="0"/>
        <v>5</v>
      </c>
      <c r="Q3" s="28">
        <f t="shared" si="1"/>
        <v>4.5697928571428568</v>
      </c>
      <c r="R3" s="28">
        <f t="shared" si="2"/>
        <v>7.8550928571428562</v>
      </c>
      <c r="S3" s="27">
        <v>45</v>
      </c>
      <c r="T3" s="29">
        <f>U3*1.341</f>
        <v>44.253</v>
      </c>
      <c r="U3" s="27">
        <v>33</v>
      </c>
      <c r="V3" s="27">
        <v>4</v>
      </c>
      <c r="W3" s="27">
        <v>26</v>
      </c>
      <c r="X3" s="29">
        <f t="shared" ref="X3:X79" si="10">IF(AP3="Regional", 185, IF(AP3="Intercity", 150, IF(AP3="Tourist", 100, 200)))</f>
        <v>185</v>
      </c>
      <c r="Y3" s="27" t="s">
        <v>69</v>
      </c>
      <c r="Z3" s="27" t="s">
        <v>69</v>
      </c>
      <c r="AA3" s="29">
        <f t="shared" si="3"/>
        <v>7</v>
      </c>
      <c r="AB3" s="29" t="str">
        <f t="shared" si="4"/>
        <v/>
      </c>
      <c r="AC3" s="29" t="str">
        <f t="shared" si="5"/>
        <v/>
      </c>
      <c r="AD3" s="29" t="str">
        <f t="shared" si="6"/>
        <v/>
      </c>
      <c r="AE3" s="29" t="str">
        <f t="shared" si="7"/>
        <v/>
      </c>
      <c r="AF3" s="29" t="str">
        <f t="shared" si="8"/>
        <v/>
      </c>
      <c r="AG3" s="27">
        <v>7</v>
      </c>
      <c r="AH3" s="27">
        <v>0</v>
      </c>
      <c r="AI3" s="27">
        <v>0</v>
      </c>
      <c r="AJ3" s="23" t="s">
        <v>339</v>
      </c>
      <c r="AK3" s="23" t="s">
        <v>338</v>
      </c>
      <c r="AN3" s="31" t="str">
        <f>IF(O3&gt;0, "5 doors", IF(N3&gt;0, "4 doors", IF(M3&gt;0, "3 doors", IF(L3&gt;0, "2 doors", "1 door"))))</f>
        <v>1 door</v>
      </c>
      <c r="AO3" s="23" t="s">
        <v>343</v>
      </c>
      <c r="AP3" s="23" t="s">
        <v>89</v>
      </c>
      <c r="AQ3" s="23" t="s">
        <v>78</v>
      </c>
      <c r="AR3" s="34">
        <f t="shared" si="9"/>
        <v>1001</v>
      </c>
      <c r="AS3" s="23">
        <v>10</v>
      </c>
      <c r="AT3" s="23">
        <v>1</v>
      </c>
      <c r="AU3" s="23">
        <v>0</v>
      </c>
    </row>
    <row r="4" spans="1:47">
      <c r="A4" s="23" t="s">
        <v>362</v>
      </c>
      <c r="C4" s="23">
        <v>1</v>
      </c>
      <c r="E4" s="23" t="s">
        <v>340</v>
      </c>
      <c r="F4" s="23" t="s">
        <v>383</v>
      </c>
      <c r="G4" s="27">
        <v>1929</v>
      </c>
      <c r="H4" s="27">
        <v>20</v>
      </c>
      <c r="I4" s="27">
        <v>25</v>
      </c>
      <c r="J4" s="27">
        <v>20</v>
      </c>
      <c r="K4" s="27">
        <v>5</v>
      </c>
      <c r="P4" s="28">
        <f t="shared" si="0"/>
        <v>5</v>
      </c>
      <c r="Q4" s="28">
        <f t="shared" si="1"/>
        <v>6.6891428571428566</v>
      </c>
      <c r="R4" s="28">
        <f t="shared" si="2"/>
        <v>11.653142857142857</v>
      </c>
      <c r="S4" s="27">
        <v>60</v>
      </c>
      <c r="T4" s="29">
        <f t="shared" ref="T4:T40" si="11">U4*1.36</f>
        <v>66.64</v>
      </c>
      <c r="U4" s="27">
        <v>49</v>
      </c>
      <c r="V4" s="27">
        <v>6</v>
      </c>
      <c r="W4" s="27">
        <v>40</v>
      </c>
      <c r="X4" s="29">
        <f t="shared" si="10"/>
        <v>200</v>
      </c>
      <c r="Y4" s="27" t="s">
        <v>69</v>
      </c>
      <c r="Z4" s="27" t="s">
        <v>69</v>
      </c>
      <c r="AA4" s="29">
        <f t="shared" si="3"/>
        <v>8</v>
      </c>
      <c r="AB4" s="29" t="str">
        <f t="shared" si="4"/>
        <v/>
      </c>
      <c r="AC4" s="29" t="str">
        <f t="shared" si="5"/>
        <v/>
      </c>
      <c r="AD4" s="29" t="str">
        <f t="shared" si="6"/>
        <v/>
      </c>
      <c r="AE4" s="29" t="str">
        <f t="shared" si="7"/>
        <v/>
      </c>
      <c r="AF4" s="29" t="str">
        <f t="shared" si="8"/>
        <v/>
      </c>
      <c r="AG4" s="27">
        <v>8</v>
      </c>
      <c r="AH4" s="27">
        <v>0</v>
      </c>
      <c r="AI4" s="27">
        <v>0</v>
      </c>
      <c r="AJ4" s="23" t="s">
        <v>363</v>
      </c>
      <c r="AK4" s="23" t="s">
        <v>364</v>
      </c>
      <c r="AL4" s="30" t="s">
        <v>365</v>
      </c>
      <c r="AN4" s="31" t="str">
        <f>IF(O4&gt;0, "5 doors", IF(N4&gt;0, "4 doors", IF(M4&gt;0, "3 doors", IF(L4&gt;0, "2 doors", "1 door"))))</f>
        <v>1 door</v>
      </c>
      <c r="AO4" s="23" t="s">
        <v>368</v>
      </c>
      <c r="AP4" s="23" t="s">
        <v>71</v>
      </c>
      <c r="AQ4" s="23" t="s">
        <v>78</v>
      </c>
      <c r="AR4" s="34">
        <f t="shared" si="9"/>
        <v>1100</v>
      </c>
      <c r="AS4" s="23">
        <v>11</v>
      </c>
      <c r="AT4" s="23">
        <v>0</v>
      </c>
      <c r="AU4" s="23">
        <v>0</v>
      </c>
    </row>
    <row r="5" spans="1:47">
      <c r="A5" s="23" t="s">
        <v>362</v>
      </c>
      <c r="B5" s="23" t="s">
        <v>359</v>
      </c>
      <c r="C5" s="23">
        <v>1</v>
      </c>
      <c r="E5" s="23" t="s">
        <v>60</v>
      </c>
      <c r="G5" s="27">
        <v>1937</v>
      </c>
      <c r="H5" s="27">
        <v>20</v>
      </c>
      <c r="I5" s="27">
        <v>25</v>
      </c>
      <c r="J5" s="27">
        <v>20</v>
      </c>
      <c r="K5" s="27">
        <v>5</v>
      </c>
      <c r="P5" s="28">
        <f t="shared" si="0"/>
        <v>5</v>
      </c>
      <c r="Q5" s="28">
        <f t="shared" si="1"/>
        <v>6.9611428571428569</v>
      </c>
      <c r="R5" s="28">
        <f t="shared" si="2"/>
        <v>8.431809523809525</v>
      </c>
      <c r="S5" s="27">
        <v>60</v>
      </c>
      <c r="T5" s="29">
        <f t="shared" si="11"/>
        <v>72.08</v>
      </c>
      <c r="U5" s="27">
        <v>53</v>
      </c>
      <c r="V5" s="27">
        <v>6</v>
      </c>
      <c r="W5" s="27">
        <v>40</v>
      </c>
      <c r="X5" s="29">
        <f t="shared" si="10"/>
        <v>200</v>
      </c>
      <c r="Y5" s="27" t="s">
        <v>69</v>
      </c>
      <c r="Z5" s="27" t="s">
        <v>69</v>
      </c>
      <c r="AA5" s="29">
        <f t="shared" si="3"/>
        <v>8</v>
      </c>
      <c r="AB5" s="29" t="str">
        <f t="shared" si="4"/>
        <v/>
      </c>
      <c r="AC5" s="29" t="str">
        <f t="shared" si="5"/>
        <v/>
      </c>
      <c r="AD5" s="29" t="str">
        <f t="shared" si="6"/>
        <v/>
      </c>
      <c r="AE5" s="29" t="str">
        <f t="shared" si="7"/>
        <v/>
      </c>
      <c r="AF5" s="29" t="str">
        <f t="shared" si="8"/>
        <v/>
      </c>
      <c r="AG5" s="27">
        <v>8</v>
      </c>
      <c r="AH5" s="27">
        <v>0</v>
      </c>
      <c r="AI5" s="27">
        <v>0</v>
      </c>
      <c r="AJ5" s="23" t="s">
        <v>363</v>
      </c>
      <c r="AK5" s="23" t="s">
        <v>364</v>
      </c>
      <c r="AL5" s="30" t="s">
        <v>365</v>
      </c>
      <c r="AN5" s="31" t="str">
        <f>C5 &amp; " doors"</f>
        <v>1 doors</v>
      </c>
      <c r="AO5" s="23" t="s">
        <v>368</v>
      </c>
      <c r="AP5" s="23" t="s">
        <v>71</v>
      </c>
      <c r="AQ5" s="23" t="s">
        <v>78</v>
      </c>
      <c r="AR5" s="32">
        <f t="shared" si="9"/>
        <v>1101</v>
      </c>
      <c r="AS5" s="23">
        <v>11</v>
      </c>
      <c r="AT5" s="23">
        <v>1</v>
      </c>
      <c r="AU5" s="23">
        <v>0</v>
      </c>
    </row>
    <row r="6" spans="1:47">
      <c r="A6" s="23" t="s">
        <v>357</v>
      </c>
      <c r="C6" s="23">
        <v>1</v>
      </c>
      <c r="E6" s="23" t="s">
        <v>340</v>
      </c>
      <c r="F6" s="23" t="s">
        <v>384</v>
      </c>
      <c r="G6" s="27">
        <v>1929</v>
      </c>
      <c r="H6" s="27">
        <v>20</v>
      </c>
      <c r="I6" s="27">
        <v>25</v>
      </c>
      <c r="J6" s="27">
        <v>20</v>
      </c>
      <c r="K6" s="27">
        <v>5</v>
      </c>
      <c r="P6" s="28">
        <f t="shared" si="0"/>
        <v>5</v>
      </c>
      <c r="Q6" s="28">
        <f t="shared" si="1"/>
        <v>7.1891428571428566</v>
      </c>
      <c r="R6" s="28">
        <f t="shared" si="2"/>
        <v>11.903142857142857</v>
      </c>
      <c r="S6" s="27">
        <v>60</v>
      </c>
      <c r="T6" s="29">
        <f t="shared" si="11"/>
        <v>66.64</v>
      </c>
      <c r="U6" s="27">
        <v>49</v>
      </c>
      <c r="V6" s="27">
        <v>7</v>
      </c>
      <c r="W6" s="27">
        <v>50</v>
      </c>
      <c r="X6" s="29">
        <f t="shared" si="10"/>
        <v>200</v>
      </c>
      <c r="Y6" s="27" t="s">
        <v>69</v>
      </c>
      <c r="Z6" s="27" t="s">
        <v>69</v>
      </c>
      <c r="AA6" s="29">
        <f t="shared" si="3"/>
        <v>1</v>
      </c>
      <c r="AB6" s="29">
        <f t="shared" si="4"/>
        <v>8</v>
      </c>
      <c r="AC6" s="29" t="str">
        <f t="shared" si="5"/>
        <v/>
      </c>
      <c r="AD6" s="29" t="str">
        <f t="shared" si="6"/>
        <v/>
      </c>
      <c r="AE6" s="29" t="str">
        <f t="shared" si="7"/>
        <v/>
      </c>
      <c r="AF6" s="29" t="str">
        <f t="shared" si="8"/>
        <v/>
      </c>
      <c r="AG6" s="27">
        <v>9</v>
      </c>
      <c r="AH6" s="27">
        <v>0</v>
      </c>
      <c r="AI6" s="27">
        <v>0</v>
      </c>
      <c r="AJ6" s="23" t="s">
        <v>363</v>
      </c>
      <c r="AK6" s="23" t="s">
        <v>364</v>
      </c>
      <c r="AL6" s="30" t="s">
        <v>366</v>
      </c>
      <c r="AN6" s="31" t="str">
        <f>IF(O6&gt;0, "5 doors", IF(N6&gt;0, "4 doors", IF(M6&gt;0, "3 doors", IF(L6&gt;0, "2 doors", "1 door"))))</f>
        <v>1 door</v>
      </c>
      <c r="AO6" s="23" t="s">
        <v>369</v>
      </c>
      <c r="AP6" s="23" t="s">
        <v>71</v>
      </c>
      <c r="AQ6" s="23" t="s">
        <v>78</v>
      </c>
      <c r="AR6" s="34">
        <f t="shared" si="9"/>
        <v>1102</v>
      </c>
      <c r="AS6" s="23">
        <v>11</v>
      </c>
      <c r="AT6" s="23">
        <v>2</v>
      </c>
      <c r="AU6" s="23">
        <v>0</v>
      </c>
    </row>
    <row r="7" spans="1:47">
      <c r="A7" s="23" t="s">
        <v>357</v>
      </c>
      <c r="B7" s="23" t="s">
        <v>359</v>
      </c>
      <c r="C7" s="23">
        <v>1</v>
      </c>
      <c r="E7" s="23" t="s">
        <v>60</v>
      </c>
      <c r="G7" s="27">
        <v>1937</v>
      </c>
      <c r="H7" s="27">
        <v>20</v>
      </c>
      <c r="I7" s="27">
        <v>25</v>
      </c>
      <c r="J7" s="27">
        <v>20</v>
      </c>
      <c r="K7" s="27">
        <v>5</v>
      </c>
      <c r="P7" s="28">
        <f t="shared" si="0"/>
        <v>5</v>
      </c>
      <c r="Q7" s="28">
        <f t="shared" si="1"/>
        <v>7.4611428571428569</v>
      </c>
      <c r="R7" s="28">
        <f t="shared" si="2"/>
        <v>8.5984761904761911</v>
      </c>
      <c r="S7" s="27">
        <v>60</v>
      </c>
      <c r="T7" s="29">
        <f t="shared" si="11"/>
        <v>72.08</v>
      </c>
      <c r="U7" s="27">
        <v>53</v>
      </c>
      <c r="V7" s="27">
        <v>7</v>
      </c>
      <c r="W7" s="27">
        <v>50</v>
      </c>
      <c r="X7" s="29">
        <f t="shared" si="10"/>
        <v>200</v>
      </c>
      <c r="Y7" s="27" t="s">
        <v>69</v>
      </c>
      <c r="Z7" s="27" t="s">
        <v>69</v>
      </c>
      <c r="AA7" s="29">
        <f t="shared" si="3"/>
        <v>1</v>
      </c>
      <c r="AB7" s="29">
        <f t="shared" si="4"/>
        <v>8</v>
      </c>
      <c r="AC7" s="29" t="str">
        <f t="shared" si="5"/>
        <v/>
      </c>
      <c r="AD7" s="29" t="str">
        <f t="shared" si="6"/>
        <v/>
      </c>
      <c r="AE7" s="29" t="str">
        <f t="shared" si="7"/>
        <v/>
      </c>
      <c r="AF7" s="29" t="str">
        <f t="shared" si="8"/>
        <v/>
      </c>
      <c r="AG7" s="27">
        <v>9</v>
      </c>
      <c r="AH7" s="27">
        <v>0</v>
      </c>
      <c r="AI7" s="27">
        <v>0</v>
      </c>
      <c r="AJ7" s="23" t="s">
        <v>363</v>
      </c>
      <c r="AK7" s="23" t="s">
        <v>364</v>
      </c>
      <c r="AL7" s="30" t="s">
        <v>366</v>
      </c>
      <c r="AN7" s="31" t="str">
        <f>C7 &amp; " doors"</f>
        <v>1 doors</v>
      </c>
      <c r="AO7" s="23" t="s">
        <v>369</v>
      </c>
      <c r="AP7" s="23" t="s">
        <v>71</v>
      </c>
      <c r="AQ7" s="23" t="s">
        <v>78</v>
      </c>
      <c r="AR7" s="32">
        <f t="shared" si="9"/>
        <v>1103</v>
      </c>
      <c r="AS7" s="23">
        <v>11</v>
      </c>
      <c r="AT7" s="23">
        <v>3</v>
      </c>
      <c r="AU7" s="23">
        <v>0</v>
      </c>
    </row>
    <row r="8" spans="1:47">
      <c r="A8" s="23" t="s">
        <v>358</v>
      </c>
      <c r="C8" s="23">
        <v>1</v>
      </c>
      <c r="E8" s="23" t="s">
        <v>340</v>
      </c>
      <c r="F8" s="23" t="s">
        <v>385</v>
      </c>
      <c r="G8" s="27">
        <v>1929</v>
      </c>
      <c r="H8" s="27">
        <v>20</v>
      </c>
      <c r="I8" s="27">
        <v>25</v>
      </c>
      <c r="J8" s="27">
        <v>20</v>
      </c>
      <c r="K8" s="27">
        <v>5</v>
      </c>
      <c r="P8" s="28">
        <f t="shared" si="0"/>
        <v>5</v>
      </c>
      <c r="Q8" s="28">
        <f t="shared" si="1"/>
        <v>7.6891428571428566</v>
      </c>
      <c r="R8" s="28">
        <f t="shared" si="2"/>
        <v>12.083142857142857</v>
      </c>
      <c r="S8" s="27">
        <v>60</v>
      </c>
      <c r="T8" s="29">
        <f t="shared" si="11"/>
        <v>66.64</v>
      </c>
      <c r="U8" s="27">
        <v>49</v>
      </c>
      <c r="V8" s="27">
        <v>8</v>
      </c>
      <c r="W8" s="27">
        <v>53</v>
      </c>
      <c r="X8" s="29">
        <f t="shared" si="10"/>
        <v>200</v>
      </c>
      <c r="Y8" s="27" t="s">
        <v>69</v>
      </c>
      <c r="Z8" s="27" t="s">
        <v>69</v>
      </c>
      <c r="AA8" s="29">
        <f t="shared" si="3"/>
        <v>3</v>
      </c>
      <c r="AB8" s="29">
        <f t="shared" si="4"/>
        <v>8</v>
      </c>
      <c r="AC8" s="29" t="str">
        <f t="shared" si="5"/>
        <v/>
      </c>
      <c r="AD8" s="29" t="str">
        <f t="shared" si="6"/>
        <v/>
      </c>
      <c r="AE8" s="29" t="str">
        <f t="shared" si="7"/>
        <v/>
      </c>
      <c r="AF8" s="29" t="str">
        <f t="shared" si="8"/>
        <v/>
      </c>
      <c r="AG8" s="27">
        <v>11</v>
      </c>
      <c r="AH8" s="27">
        <v>0</v>
      </c>
      <c r="AI8" s="27">
        <v>0</v>
      </c>
      <c r="AJ8" s="23" t="s">
        <v>363</v>
      </c>
      <c r="AK8" s="23" t="s">
        <v>364</v>
      </c>
      <c r="AL8" s="30" t="s">
        <v>367</v>
      </c>
      <c r="AN8" s="31" t="str">
        <f>IF(O8&gt;0, "5 doors", IF(N8&gt;0, "4 doors", IF(M8&gt;0, "3 doors", IF(L8&gt;0, "2 doors", "1 door"))))</f>
        <v>1 door</v>
      </c>
      <c r="AO8" s="23" t="s">
        <v>370</v>
      </c>
      <c r="AP8" s="23" t="s">
        <v>71</v>
      </c>
      <c r="AQ8" s="23" t="s">
        <v>78</v>
      </c>
      <c r="AR8" s="34">
        <f t="shared" si="9"/>
        <v>1104</v>
      </c>
      <c r="AS8" s="23">
        <v>11</v>
      </c>
      <c r="AT8" s="23">
        <v>4</v>
      </c>
      <c r="AU8" s="23">
        <v>0</v>
      </c>
    </row>
    <row r="9" spans="1:47">
      <c r="A9" s="23" t="s">
        <v>358</v>
      </c>
      <c r="B9" s="23" t="s">
        <v>359</v>
      </c>
      <c r="C9" s="23">
        <v>1</v>
      </c>
      <c r="E9" s="23" t="s">
        <v>60</v>
      </c>
      <c r="G9" s="27">
        <v>1937</v>
      </c>
      <c r="H9" s="27">
        <v>20</v>
      </c>
      <c r="I9" s="27">
        <v>25</v>
      </c>
      <c r="J9" s="27">
        <v>20</v>
      </c>
      <c r="K9" s="27">
        <v>5</v>
      </c>
      <c r="P9" s="28">
        <f t="shared" si="0"/>
        <v>5</v>
      </c>
      <c r="Q9" s="28">
        <f t="shared" si="1"/>
        <v>7.9611428571428569</v>
      </c>
      <c r="R9" s="28">
        <f t="shared" si="2"/>
        <v>8.7184761904761903</v>
      </c>
      <c r="S9" s="27">
        <v>60</v>
      </c>
      <c r="T9" s="29">
        <f t="shared" si="11"/>
        <v>72.08</v>
      </c>
      <c r="U9" s="27">
        <v>53</v>
      </c>
      <c r="V9" s="27">
        <v>8</v>
      </c>
      <c r="W9" s="27">
        <v>53</v>
      </c>
      <c r="X9" s="29">
        <f t="shared" si="10"/>
        <v>200</v>
      </c>
      <c r="Y9" s="27" t="s">
        <v>69</v>
      </c>
      <c r="Z9" s="27" t="s">
        <v>69</v>
      </c>
      <c r="AA9" s="29">
        <f t="shared" si="3"/>
        <v>3</v>
      </c>
      <c r="AB9" s="29">
        <f t="shared" si="4"/>
        <v>8</v>
      </c>
      <c r="AC9" s="29" t="str">
        <f t="shared" si="5"/>
        <v/>
      </c>
      <c r="AD9" s="29" t="str">
        <f t="shared" si="6"/>
        <v/>
      </c>
      <c r="AE9" s="29" t="str">
        <f t="shared" si="7"/>
        <v/>
      </c>
      <c r="AF9" s="29" t="str">
        <f t="shared" si="8"/>
        <v/>
      </c>
      <c r="AG9" s="27">
        <v>11</v>
      </c>
      <c r="AH9" s="27">
        <v>0</v>
      </c>
      <c r="AI9" s="27">
        <v>0</v>
      </c>
      <c r="AJ9" s="23" t="s">
        <v>363</v>
      </c>
      <c r="AK9" s="23" t="s">
        <v>364</v>
      </c>
      <c r="AL9" s="30" t="s">
        <v>367</v>
      </c>
      <c r="AN9" s="31" t="str">
        <f>C9 &amp; " doors"</f>
        <v>1 doors</v>
      </c>
      <c r="AO9" s="23" t="s">
        <v>370</v>
      </c>
      <c r="AP9" s="23" t="s">
        <v>71</v>
      </c>
      <c r="AQ9" s="23" t="s">
        <v>78</v>
      </c>
      <c r="AR9" s="32">
        <f t="shared" si="9"/>
        <v>1105</v>
      </c>
      <c r="AS9" s="23">
        <v>11</v>
      </c>
      <c r="AT9" s="23">
        <v>5</v>
      </c>
      <c r="AU9" s="23">
        <v>0</v>
      </c>
    </row>
    <row r="10" spans="1:47">
      <c r="A10" s="23" t="s">
        <v>371</v>
      </c>
      <c r="B10" s="23" t="s">
        <v>372</v>
      </c>
      <c r="C10" s="23">
        <v>2</v>
      </c>
      <c r="E10" s="23" t="s">
        <v>60</v>
      </c>
      <c r="F10" s="23" t="s">
        <v>377</v>
      </c>
      <c r="G10" s="27">
        <v>1951</v>
      </c>
      <c r="H10" s="27">
        <v>20</v>
      </c>
      <c r="I10" s="27">
        <v>25</v>
      </c>
      <c r="J10" s="27">
        <v>20</v>
      </c>
      <c r="K10" s="27">
        <v>5</v>
      </c>
      <c r="L10" s="27">
        <v>5</v>
      </c>
      <c r="P10" s="28">
        <f t="shared" si="0"/>
        <v>10</v>
      </c>
      <c r="Q10" s="28">
        <f t="shared" si="1"/>
        <v>6.9302857142857146</v>
      </c>
      <c r="R10" s="28">
        <f t="shared" si="2"/>
        <v>9.8129523809523818</v>
      </c>
      <c r="S10" s="27">
        <v>75</v>
      </c>
      <c r="T10" s="29">
        <f t="shared" si="11"/>
        <v>84.320000000000007</v>
      </c>
      <c r="U10" s="27">
        <v>62</v>
      </c>
      <c r="V10" s="27">
        <v>4</v>
      </c>
      <c r="W10" s="27">
        <v>40</v>
      </c>
      <c r="X10" s="29">
        <f t="shared" si="10"/>
        <v>200</v>
      </c>
      <c r="Y10" s="27" t="s">
        <v>69</v>
      </c>
      <c r="Z10" s="27" t="s">
        <v>69</v>
      </c>
      <c r="AA10" s="29">
        <f t="shared" si="3"/>
        <v>1</v>
      </c>
      <c r="AB10" s="29">
        <f t="shared" si="4"/>
        <v>8</v>
      </c>
      <c r="AC10" s="29" t="str">
        <f t="shared" si="5"/>
        <v/>
      </c>
      <c r="AD10" s="29" t="str">
        <f t="shared" si="6"/>
        <v/>
      </c>
      <c r="AE10" s="29" t="str">
        <f t="shared" si="7"/>
        <v/>
      </c>
      <c r="AF10" s="29" t="str">
        <f t="shared" si="8"/>
        <v/>
      </c>
      <c r="AG10" s="27">
        <v>9</v>
      </c>
      <c r="AH10" s="27">
        <v>0</v>
      </c>
      <c r="AI10" s="27">
        <v>0</v>
      </c>
      <c r="AJ10" s="23" t="s">
        <v>400</v>
      </c>
      <c r="AK10" s="23" t="s">
        <v>371</v>
      </c>
      <c r="AN10" s="31" t="str">
        <f t="shared" ref="AN10:AN48" si="12">IF(O10&gt;0, "5 doors", IF(N10&gt;0, "4 doors", IF(M10&gt;0, "3 doors", IF(L10&gt;0, "2 doors", "1 door"))))</f>
        <v>2 doors</v>
      </c>
      <c r="AO10" s="23" t="s">
        <v>374</v>
      </c>
      <c r="AP10" s="23" t="s">
        <v>71</v>
      </c>
      <c r="AQ10" s="23" t="s">
        <v>78</v>
      </c>
      <c r="AR10" s="34">
        <f t="shared" si="9"/>
        <v>2004</v>
      </c>
      <c r="AS10" s="23">
        <v>20</v>
      </c>
      <c r="AT10" s="23">
        <v>4</v>
      </c>
      <c r="AU10" s="23">
        <v>0</v>
      </c>
    </row>
    <row r="11" spans="1:47">
      <c r="A11" s="23" t="s">
        <v>371</v>
      </c>
      <c r="B11" s="23" t="s">
        <v>373</v>
      </c>
      <c r="C11" s="23">
        <v>1</v>
      </c>
      <c r="E11" s="23" t="s">
        <v>60</v>
      </c>
      <c r="F11" s="23" t="s">
        <v>379</v>
      </c>
      <c r="G11" s="27">
        <v>1951</v>
      </c>
      <c r="H11" s="27">
        <v>20</v>
      </c>
      <c r="I11" s="27">
        <v>25</v>
      </c>
      <c r="J11" s="27">
        <v>20</v>
      </c>
      <c r="K11" s="27">
        <v>5</v>
      </c>
      <c r="P11" s="28">
        <f t="shared" si="0"/>
        <v>5</v>
      </c>
      <c r="Q11" s="28">
        <f t="shared" si="1"/>
        <v>6.573142857142857</v>
      </c>
      <c r="R11" s="28">
        <f t="shared" si="2"/>
        <v>9.3891428571428577</v>
      </c>
      <c r="S11" s="27">
        <v>75</v>
      </c>
      <c r="T11" s="29">
        <f t="shared" si="11"/>
        <v>84.320000000000007</v>
      </c>
      <c r="U11" s="27">
        <v>62</v>
      </c>
      <c r="V11" s="27">
        <v>4</v>
      </c>
      <c r="W11" s="27">
        <v>30</v>
      </c>
      <c r="X11" s="29">
        <f t="shared" si="10"/>
        <v>150</v>
      </c>
      <c r="Y11" s="27" t="s">
        <v>69</v>
      </c>
      <c r="Z11" s="27" t="s">
        <v>78</v>
      </c>
      <c r="AA11" s="29">
        <f t="shared" si="3"/>
        <v>1</v>
      </c>
      <c r="AB11" s="29">
        <f t="shared" si="4"/>
        <v>8</v>
      </c>
      <c r="AC11" s="29" t="str">
        <f t="shared" si="5"/>
        <v/>
      </c>
      <c r="AD11" s="29" t="str">
        <f t="shared" si="6"/>
        <v/>
      </c>
      <c r="AE11" s="29" t="str">
        <f t="shared" si="7"/>
        <v/>
      </c>
      <c r="AF11" s="29" t="str">
        <f t="shared" si="8"/>
        <v/>
      </c>
      <c r="AG11" s="27">
        <v>9</v>
      </c>
      <c r="AH11" s="27">
        <v>0</v>
      </c>
      <c r="AI11" s="27">
        <v>0</v>
      </c>
      <c r="AJ11" s="23" t="s">
        <v>400</v>
      </c>
      <c r="AK11" s="23" t="s">
        <v>371</v>
      </c>
      <c r="AN11" s="31" t="str">
        <f t="shared" si="12"/>
        <v>1 door</v>
      </c>
      <c r="AO11" s="23" t="s">
        <v>374</v>
      </c>
      <c r="AP11" s="23" t="s">
        <v>211</v>
      </c>
      <c r="AQ11" s="23" t="s">
        <v>78</v>
      </c>
      <c r="AR11" s="34">
        <f t="shared" si="9"/>
        <v>2005</v>
      </c>
      <c r="AS11" s="23">
        <v>20</v>
      </c>
      <c r="AT11" s="23">
        <v>5</v>
      </c>
      <c r="AU11" s="23">
        <v>0</v>
      </c>
    </row>
    <row r="12" spans="1:47">
      <c r="A12" s="23" t="s">
        <v>371</v>
      </c>
      <c r="B12" s="23" t="s">
        <v>373</v>
      </c>
      <c r="C12" s="23">
        <v>1</v>
      </c>
      <c r="E12" s="23" t="s">
        <v>60</v>
      </c>
      <c r="F12" s="23" t="s">
        <v>379</v>
      </c>
      <c r="G12" s="27">
        <v>1951</v>
      </c>
      <c r="H12" s="27">
        <v>20</v>
      </c>
      <c r="I12" s="27">
        <v>25</v>
      </c>
      <c r="J12" s="27">
        <v>20</v>
      </c>
      <c r="K12" s="27">
        <v>5</v>
      </c>
      <c r="P12" s="28">
        <f t="shared" si="0"/>
        <v>5</v>
      </c>
      <c r="Q12" s="28">
        <f t="shared" si="1"/>
        <v>6.573142857142857</v>
      </c>
      <c r="R12" s="28">
        <f t="shared" si="2"/>
        <v>9.3891428571428577</v>
      </c>
      <c r="S12" s="27">
        <v>75</v>
      </c>
      <c r="T12" s="29">
        <f t="shared" si="11"/>
        <v>84.320000000000007</v>
      </c>
      <c r="U12" s="27">
        <v>62</v>
      </c>
      <c r="V12" s="27">
        <v>4</v>
      </c>
      <c r="W12" s="27">
        <v>30</v>
      </c>
      <c r="X12" s="29">
        <f t="shared" si="10"/>
        <v>150</v>
      </c>
      <c r="Y12" s="27" t="s">
        <v>102</v>
      </c>
      <c r="Z12" s="27" t="s">
        <v>315</v>
      </c>
      <c r="AA12" s="29">
        <f t="shared" si="3"/>
        <v>1</v>
      </c>
      <c r="AB12" s="29">
        <f t="shared" si="4"/>
        <v>8</v>
      </c>
      <c r="AC12" s="29" t="str">
        <f t="shared" si="5"/>
        <v/>
      </c>
      <c r="AD12" s="29" t="str">
        <f t="shared" si="6"/>
        <v/>
      </c>
      <c r="AE12" s="29" t="str">
        <f t="shared" si="7"/>
        <v/>
      </c>
      <c r="AF12" s="29" t="str">
        <f t="shared" si="8"/>
        <v/>
      </c>
      <c r="AG12" s="27">
        <v>9</v>
      </c>
      <c r="AH12" s="27">
        <v>0</v>
      </c>
      <c r="AI12" s="27">
        <v>0</v>
      </c>
      <c r="AJ12" s="23" t="s">
        <v>400</v>
      </c>
      <c r="AK12" s="23" t="s">
        <v>371</v>
      </c>
      <c r="AN12" s="31" t="str">
        <f t="shared" si="12"/>
        <v>1 door</v>
      </c>
      <c r="AO12" s="23" t="s">
        <v>374</v>
      </c>
      <c r="AP12" s="23" t="s">
        <v>211</v>
      </c>
      <c r="AQ12" s="23" t="s">
        <v>78</v>
      </c>
      <c r="AR12" s="34">
        <f t="shared" si="9"/>
        <v>2005.01</v>
      </c>
      <c r="AS12" s="23">
        <v>20</v>
      </c>
      <c r="AT12" s="23">
        <v>5</v>
      </c>
      <c r="AU12" s="23">
        <v>1</v>
      </c>
    </row>
    <row r="13" spans="1:47">
      <c r="A13" s="23" t="s">
        <v>375</v>
      </c>
      <c r="B13" s="23" t="s">
        <v>372</v>
      </c>
      <c r="C13" s="23">
        <v>2</v>
      </c>
      <c r="E13" s="23" t="s">
        <v>60</v>
      </c>
      <c r="F13" s="23" t="s">
        <v>378</v>
      </c>
      <c r="G13" s="27">
        <v>1956</v>
      </c>
      <c r="H13" s="27">
        <v>20</v>
      </c>
      <c r="I13" s="27">
        <v>25</v>
      </c>
      <c r="J13" s="27">
        <v>20</v>
      </c>
      <c r="K13" s="27">
        <v>5</v>
      </c>
      <c r="L13" s="27">
        <v>5</v>
      </c>
      <c r="P13" s="28">
        <f t="shared" si="0"/>
        <v>10</v>
      </c>
      <c r="Q13" s="28">
        <f t="shared" si="1"/>
        <v>7.9302857142857146</v>
      </c>
      <c r="R13" s="28">
        <f t="shared" si="2"/>
        <v>10.079619047619047</v>
      </c>
      <c r="S13" s="27">
        <v>78</v>
      </c>
      <c r="T13" s="29">
        <f t="shared" si="11"/>
        <v>84.320000000000007</v>
      </c>
      <c r="U13" s="27">
        <v>62</v>
      </c>
      <c r="V13" s="27">
        <v>6</v>
      </c>
      <c r="W13" s="27">
        <v>50</v>
      </c>
      <c r="X13" s="29">
        <f t="shared" si="10"/>
        <v>200</v>
      </c>
      <c r="Y13" s="27" t="s">
        <v>69</v>
      </c>
      <c r="Z13" s="27" t="s">
        <v>78</v>
      </c>
      <c r="AA13" s="29">
        <f t="shared" si="3"/>
        <v>1</v>
      </c>
      <c r="AB13" s="29">
        <f t="shared" si="4"/>
        <v>8</v>
      </c>
      <c r="AC13" s="29" t="str">
        <f t="shared" si="5"/>
        <v/>
      </c>
      <c r="AD13" s="29" t="str">
        <f t="shared" si="6"/>
        <v/>
      </c>
      <c r="AE13" s="29" t="str">
        <f t="shared" si="7"/>
        <v/>
      </c>
      <c r="AF13" s="29" t="str">
        <f t="shared" si="8"/>
        <v/>
      </c>
      <c r="AG13" s="27">
        <v>9</v>
      </c>
      <c r="AH13" s="27">
        <v>0</v>
      </c>
      <c r="AI13" s="27">
        <v>0</v>
      </c>
      <c r="AJ13" s="23" t="s">
        <v>400</v>
      </c>
      <c r="AK13" s="23" t="s">
        <v>375</v>
      </c>
      <c r="AN13" s="31" t="str">
        <f t="shared" si="12"/>
        <v>2 doors</v>
      </c>
      <c r="AO13" s="23" t="s">
        <v>376</v>
      </c>
      <c r="AP13" s="23" t="s">
        <v>71</v>
      </c>
      <c r="AQ13" s="23" t="s">
        <v>78</v>
      </c>
      <c r="AR13" s="34">
        <f t="shared" si="9"/>
        <v>2010</v>
      </c>
      <c r="AS13" s="23">
        <v>20</v>
      </c>
      <c r="AT13" s="23">
        <v>10</v>
      </c>
      <c r="AU13" s="23">
        <v>0</v>
      </c>
    </row>
    <row r="14" spans="1:47">
      <c r="A14" s="23" t="s">
        <v>375</v>
      </c>
      <c r="B14" s="23" t="s">
        <v>372</v>
      </c>
      <c r="C14" s="23">
        <v>1</v>
      </c>
      <c r="E14" s="23" t="s">
        <v>60</v>
      </c>
      <c r="F14" s="23" t="s">
        <v>382</v>
      </c>
      <c r="G14" s="27">
        <v>1956</v>
      </c>
      <c r="H14" s="27">
        <v>20</v>
      </c>
      <c r="I14" s="27">
        <v>25</v>
      </c>
      <c r="J14" s="27">
        <v>20</v>
      </c>
      <c r="K14" s="27">
        <v>5</v>
      </c>
      <c r="P14" s="28">
        <f t="shared" si="0"/>
        <v>5</v>
      </c>
      <c r="Q14" s="28">
        <f t="shared" si="1"/>
        <v>7.573142857142857</v>
      </c>
      <c r="R14" s="28">
        <f t="shared" si="2"/>
        <v>9.709142857142858</v>
      </c>
      <c r="S14" s="27">
        <v>78</v>
      </c>
      <c r="T14" s="29">
        <f t="shared" si="11"/>
        <v>84.320000000000007</v>
      </c>
      <c r="U14" s="27">
        <v>62</v>
      </c>
      <c r="V14" s="27">
        <v>6</v>
      </c>
      <c r="W14" s="27">
        <v>48</v>
      </c>
      <c r="X14" s="29">
        <f t="shared" si="10"/>
        <v>185</v>
      </c>
      <c r="Y14" s="27" t="s">
        <v>69</v>
      </c>
      <c r="Z14" s="27" t="s">
        <v>78</v>
      </c>
      <c r="AA14" s="29">
        <f t="shared" si="3"/>
        <v>1</v>
      </c>
      <c r="AB14" s="29">
        <f t="shared" si="4"/>
        <v>8</v>
      </c>
      <c r="AC14" s="29" t="str">
        <f t="shared" si="5"/>
        <v/>
      </c>
      <c r="AD14" s="29" t="str">
        <f t="shared" si="6"/>
        <v/>
      </c>
      <c r="AE14" s="29" t="str">
        <f t="shared" si="7"/>
        <v/>
      </c>
      <c r="AF14" s="29" t="str">
        <f t="shared" si="8"/>
        <v/>
      </c>
      <c r="AG14" s="27">
        <v>9</v>
      </c>
      <c r="AH14" s="27">
        <v>0</v>
      </c>
      <c r="AI14" s="27">
        <v>0</v>
      </c>
      <c r="AJ14" s="23" t="s">
        <v>400</v>
      </c>
      <c r="AK14" s="23" t="s">
        <v>375</v>
      </c>
      <c r="AN14" s="31" t="str">
        <f t="shared" si="12"/>
        <v>1 door</v>
      </c>
      <c r="AO14" s="23" t="s">
        <v>376</v>
      </c>
      <c r="AP14" s="23" t="s">
        <v>89</v>
      </c>
      <c r="AQ14" s="23" t="s">
        <v>78</v>
      </c>
      <c r="AR14" s="34">
        <f t="shared" si="9"/>
        <v>2011</v>
      </c>
      <c r="AS14" s="23">
        <v>20</v>
      </c>
      <c r="AT14" s="23">
        <v>11</v>
      </c>
      <c r="AU14" s="23">
        <v>0</v>
      </c>
    </row>
    <row r="15" spans="1:47">
      <c r="A15" s="23" t="s">
        <v>375</v>
      </c>
      <c r="B15" s="23" t="s">
        <v>373</v>
      </c>
      <c r="C15" s="23">
        <v>2</v>
      </c>
      <c r="E15" s="23" t="s">
        <v>60</v>
      </c>
      <c r="F15" s="23" t="s">
        <v>381</v>
      </c>
      <c r="G15" s="27">
        <v>1956</v>
      </c>
      <c r="H15" s="27">
        <v>20</v>
      </c>
      <c r="I15" s="27">
        <v>25</v>
      </c>
      <c r="J15" s="27">
        <v>20</v>
      </c>
      <c r="K15" s="27">
        <v>5</v>
      </c>
      <c r="L15" s="27">
        <v>5</v>
      </c>
      <c r="P15" s="28">
        <f t="shared" si="0"/>
        <v>10</v>
      </c>
      <c r="Q15" s="28">
        <f t="shared" si="1"/>
        <v>7.9302857142857146</v>
      </c>
      <c r="R15" s="28">
        <f t="shared" si="2"/>
        <v>9.9596190476190483</v>
      </c>
      <c r="S15" s="27">
        <v>78</v>
      </c>
      <c r="T15" s="29">
        <f t="shared" si="11"/>
        <v>84.320000000000007</v>
      </c>
      <c r="U15" s="27">
        <v>62</v>
      </c>
      <c r="V15" s="27">
        <v>6</v>
      </c>
      <c r="W15" s="27">
        <v>32</v>
      </c>
      <c r="X15" s="29">
        <f t="shared" si="10"/>
        <v>150</v>
      </c>
      <c r="Y15" s="27" t="s">
        <v>69</v>
      </c>
      <c r="Z15" s="27" t="s">
        <v>78</v>
      </c>
      <c r="AA15" s="29">
        <f t="shared" si="3"/>
        <v>1</v>
      </c>
      <c r="AB15" s="29">
        <f t="shared" si="4"/>
        <v>8</v>
      </c>
      <c r="AC15" s="29" t="str">
        <f t="shared" si="5"/>
        <v/>
      </c>
      <c r="AD15" s="29" t="str">
        <f t="shared" si="6"/>
        <v/>
      </c>
      <c r="AE15" s="29" t="str">
        <f t="shared" si="7"/>
        <v/>
      </c>
      <c r="AF15" s="29" t="str">
        <f t="shared" si="8"/>
        <v/>
      </c>
      <c r="AG15" s="27">
        <v>9</v>
      </c>
      <c r="AH15" s="27">
        <v>0</v>
      </c>
      <c r="AI15" s="27">
        <v>0</v>
      </c>
      <c r="AJ15" s="23" t="s">
        <v>400</v>
      </c>
      <c r="AK15" s="23" t="s">
        <v>375</v>
      </c>
      <c r="AN15" s="31" t="str">
        <f t="shared" si="12"/>
        <v>2 doors</v>
      </c>
      <c r="AO15" s="23" t="s">
        <v>376</v>
      </c>
      <c r="AP15" s="23" t="s">
        <v>211</v>
      </c>
      <c r="AQ15" s="23" t="s">
        <v>78</v>
      </c>
      <c r="AR15" s="34">
        <f t="shared" si="9"/>
        <v>2012</v>
      </c>
      <c r="AS15" s="23">
        <v>20</v>
      </c>
      <c r="AT15" s="23">
        <v>12</v>
      </c>
      <c r="AU15" s="23">
        <v>0</v>
      </c>
    </row>
    <row r="16" spans="1:47">
      <c r="A16" s="23" t="s">
        <v>375</v>
      </c>
      <c r="B16" s="23" t="s">
        <v>373</v>
      </c>
      <c r="C16" s="23">
        <v>1</v>
      </c>
      <c r="E16" s="23" t="s">
        <v>60</v>
      </c>
      <c r="F16" s="23" t="s">
        <v>380</v>
      </c>
      <c r="G16" s="27">
        <v>1956</v>
      </c>
      <c r="H16" s="27">
        <v>20</v>
      </c>
      <c r="I16" s="27">
        <v>25</v>
      </c>
      <c r="J16" s="27">
        <v>20</v>
      </c>
      <c r="K16" s="27">
        <v>5</v>
      </c>
      <c r="P16" s="28">
        <f t="shared" si="0"/>
        <v>5</v>
      </c>
      <c r="Q16" s="28">
        <f t="shared" si="1"/>
        <v>7.573142857142857</v>
      </c>
      <c r="R16" s="28">
        <f t="shared" si="2"/>
        <v>9.6091428571428583</v>
      </c>
      <c r="S16" s="27">
        <v>78</v>
      </c>
      <c r="T16" s="29">
        <f t="shared" si="11"/>
        <v>84.320000000000007</v>
      </c>
      <c r="U16" s="27">
        <v>62</v>
      </c>
      <c r="V16" s="27">
        <v>6</v>
      </c>
      <c r="W16" s="27">
        <v>33</v>
      </c>
      <c r="X16" s="29">
        <f t="shared" si="10"/>
        <v>100</v>
      </c>
      <c r="Y16" s="27" t="s">
        <v>69</v>
      </c>
      <c r="Z16" s="27" t="s">
        <v>78</v>
      </c>
      <c r="AA16" s="29">
        <f t="shared" si="3"/>
        <v>1</v>
      </c>
      <c r="AB16" s="29">
        <f t="shared" si="4"/>
        <v>8</v>
      </c>
      <c r="AC16" s="29" t="str">
        <f t="shared" si="5"/>
        <v/>
      </c>
      <c r="AD16" s="29" t="str">
        <f t="shared" si="6"/>
        <v/>
      </c>
      <c r="AE16" s="29" t="str">
        <f t="shared" si="7"/>
        <v/>
      </c>
      <c r="AF16" s="29" t="str">
        <f t="shared" si="8"/>
        <v/>
      </c>
      <c r="AG16" s="27">
        <v>9</v>
      </c>
      <c r="AH16" s="27">
        <v>0</v>
      </c>
      <c r="AI16" s="27">
        <v>0</v>
      </c>
      <c r="AJ16" s="23" t="s">
        <v>400</v>
      </c>
      <c r="AK16" s="23" t="s">
        <v>375</v>
      </c>
      <c r="AN16" s="31" t="str">
        <f t="shared" si="12"/>
        <v>1 door</v>
      </c>
      <c r="AO16" s="23" t="s">
        <v>376</v>
      </c>
      <c r="AP16" s="23" t="s">
        <v>214</v>
      </c>
      <c r="AQ16" s="23" t="s">
        <v>78</v>
      </c>
      <c r="AR16" s="34">
        <f t="shared" si="9"/>
        <v>2013</v>
      </c>
      <c r="AS16" s="23">
        <v>20</v>
      </c>
      <c r="AT16" s="23">
        <v>13</v>
      </c>
      <c r="AU16" s="23">
        <v>0</v>
      </c>
    </row>
    <row r="17" spans="1:47">
      <c r="A17" s="23" t="s">
        <v>427</v>
      </c>
      <c r="B17" s="23" t="s">
        <v>373</v>
      </c>
      <c r="C17" s="23">
        <v>2</v>
      </c>
      <c r="E17" s="23" t="s">
        <v>60</v>
      </c>
      <c r="F17" s="23" t="s">
        <v>428</v>
      </c>
      <c r="G17" s="27">
        <v>1970</v>
      </c>
      <c r="H17" s="27">
        <v>20</v>
      </c>
      <c r="I17" s="27">
        <v>25</v>
      </c>
      <c r="J17" s="27">
        <v>20</v>
      </c>
      <c r="K17" s="27">
        <v>5</v>
      </c>
      <c r="L17" s="27">
        <v>5</v>
      </c>
      <c r="P17" s="28">
        <f t="shared" ref="P17:P22" si="13">SUM(K17:O17)</f>
        <v>10</v>
      </c>
      <c r="Q17" s="28">
        <f t="shared" ref="Q17:Q22" si="14">IF(OR(E17="diesel", E17="petrol"), ((V17+(T17/10))/2)+(P17/14), IF(OR(E17="cng", E17="hybrid"), ((V17+(T17/10))/2*1.2)+(P17/14), IF(OR(E17="hydrogen", E17="electric"), ((V17+(T17/10))/2*1.5)+(P17/14), 0)))</f>
        <v>14.802285714285714</v>
      </c>
      <c r="R17" s="28">
        <f t="shared" ref="R17:R22" si="15">IF(E17="petrol", ((V17+(W17/15)+T17)/10*1.5)+(P17/14), IF(E17="diesel", ((V17+(W17/15)+T17)/10)+(P17/14), IF(OR(E17="cng", E17="hybrid"), ((V17+(W17/15)+T17)/10*0.8)+(P17/14), IF(OR(E17="hydrogen", E17="electric"), ((V17+(W17/15)+T17)/10*0.5)+(P17/14), 0))))</f>
        <v>21.076952380952385</v>
      </c>
      <c r="S17" s="27">
        <v>100</v>
      </c>
      <c r="T17" s="29">
        <f t="shared" si="11"/>
        <v>191.76000000000002</v>
      </c>
      <c r="U17" s="27">
        <v>141</v>
      </c>
      <c r="V17" s="27">
        <v>9</v>
      </c>
      <c r="W17" s="27">
        <v>43</v>
      </c>
      <c r="X17" s="29">
        <f t="shared" si="10"/>
        <v>100</v>
      </c>
      <c r="Y17" s="27" t="s">
        <v>69</v>
      </c>
      <c r="Z17" s="27" t="s">
        <v>315</v>
      </c>
      <c r="AA17" s="29">
        <f t="shared" ref="AA17:AA24" si="16">IF(AG17&gt;8, AG17-8, AG17)</f>
        <v>3</v>
      </c>
      <c r="AB17" s="29">
        <f t="shared" ref="AB17:AB24" si="17">IF(AG17&gt;8, 8, "")</f>
        <v>8</v>
      </c>
      <c r="AC17" s="29" t="str">
        <f t="shared" ref="AC17:AC24" si="18">IF(AH17&gt;8, AH17-8, IF(AH17=0, "", AH17))</f>
        <v/>
      </c>
      <c r="AD17" s="29" t="str">
        <f t="shared" ref="AD17:AD24" si="19">IF(AH17&gt;8, 8, "")</f>
        <v/>
      </c>
      <c r="AE17" s="29" t="str">
        <f t="shared" ref="AE17:AE24" si="20">IF(AI17&gt;8, AI17-8, IF(AI17=0, "", AI17))</f>
        <v/>
      </c>
      <c r="AF17" s="29" t="str">
        <f t="shared" ref="AF17:AF24" si="21">IF(AI17&gt;8, 8, "")</f>
        <v/>
      </c>
      <c r="AG17" s="27">
        <v>11</v>
      </c>
      <c r="AH17" s="27">
        <v>0</v>
      </c>
      <c r="AI17" s="27">
        <v>0</v>
      </c>
      <c r="AJ17" s="23" t="s">
        <v>401</v>
      </c>
      <c r="AK17" s="23" t="s">
        <v>427</v>
      </c>
      <c r="AN17" s="31" t="str">
        <f t="shared" si="12"/>
        <v>2 doors</v>
      </c>
      <c r="AO17" s="23" t="s">
        <v>314</v>
      </c>
      <c r="AP17" s="23" t="s">
        <v>214</v>
      </c>
      <c r="AQ17" s="23" t="s">
        <v>78</v>
      </c>
      <c r="AR17" s="34">
        <f t="shared" ref="AR17:AR21" si="22">(AS17*100)+AT17+(AU17/100)</f>
        <v>2130</v>
      </c>
      <c r="AS17" s="23">
        <v>21</v>
      </c>
      <c r="AT17" s="23">
        <v>30</v>
      </c>
      <c r="AU17" s="23">
        <v>0</v>
      </c>
    </row>
    <row r="18" spans="1:47">
      <c r="A18" s="23" t="s">
        <v>427</v>
      </c>
      <c r="B18" s="23" t="s">
        <v>373</v>
      </c>
      <c r="C18" s="23">
        <v>2</v>
      </c>
      <c r="E18" s="23" t="s">
        <v>60</v>
      </c>
      <c r="F18" s="23" t="s">
        <v>428</v>
      </c>
      <c r="G18" s="27">
        <v>1970</v>
      </c>
      <c r="H18" s="27">
        <v>20</v>
      </c>
      <c r="I18" s="27">
        <v>25</v>
      </c>
      <c r="J18" s="27">
        <v>20</v>
      </c>
      <c r="K18" s="27">
        <v>5</v>
      </c>
      <c r="L18" s="27">
        <v>5</v>
      </c>
      <c r="P18" s="28">
        <f t="shared" si="13"/>
        <v>10</v>
      </c>
      <c r="Q18" s="28">
        <f t="shared" si="14"/>
        <v>14.802285714285714</v>
      </c>
      <c r="R18" s="28">
        <f t="shared" si="15"/>
        <v>21.076952380952385</v>
      </c>
      <c r="S18" s="27">
        <v>100</v>
      </c>
      <c r="T18" s="29">
        <f t="shared" si="11"/>
        <v>191.76000000000002</v>
      </c>
      <c r="U18" s="27">
        <v>141</v>
      </c>
      <c r="V18" s="27">
        <v>9</v>
      </c>
      <c r="W18" s="27">
        <v>43</v>
      </c>
      <c r="X18" s="29">
        <f t="shared" si="10"/>
        <v>100</v>
      </c>
      <c r="Y18" s="27" t="s">
        <v>102</v>
      </c>
      <c r="Z18" s="27" t="s">
        <v>316</v>
      </c>
      <c r="AA18" s="29">
        <f t="shared" si="16"/>
        <v>3</v>
      </c>
      <c r="AB18" s="29">
        <f t="shared" si="17"/>
        <v>8</v>
      </c>
      <c r="AC18" s="29" t="str">
        <f t="shared" si="18"/>
        <v/>
      </c>
      <c r="AD18" s="29" t="str">
        <f t="shared" si="19"/>
        <v/>
      </c>
      <c r="AE18" s="29" t="str">
        <f t="shared" si="20"/>
        <v/>
      </c>
      <c r="AF18" s="29" t="str">
        <f t="shared" si="21"/>
        <v/>
      </c>
      <c r="AG18" s="27">
        <v>11</v>
      </c>
      <c r="AH18" s="27">
        <v>0</v>
      </c>
      <c r="AI18" s="27">
        <v>0</v>
      </c>
      <c r="AJ18" s="23" t="s">
        <v>401</v>
      </c>
      <c r="AK18" s="23" t="s">
        <v>427</v>
      </c>
      <c r="AN18" s="31" t="str">
        <f t="shared" si="12"/>
        <v>2 doors</v>
      </c>
      <c r="AO18" s="23" t="s">
        <v>314</v>
      </c>
      <c r="AP18" s="23" t="s">
        <v>214</v>
      </c>
      <c r="AQ18" s="23" t="s">
        <v>78</v>
      </c>
      <c r="AR18" s="34">
        <f t="shared" si="22"/>
        <v>2130.0100000000002</v>
      </c>
      <c r="AS18" s="23">
        <v>21</v>
      </c>
      <c r="AT18" s="23">
        <v>30</v>
      </c>
      <c r="AU18" s="23">
        <v>1</v>
      </c>
    </row>
    <row r="19" spans="1:47">
      <c r="A19" s="23" t="s">
        <v>427</v>
      </c>
      <c r="B19" s="23" t="s">
        <v>373</v>
      </c>
      <c r="C19" s="23">
        <v>2</v>
      </c>
      <c r="E19" s="23" t="s">
        <v>60</v>
      </c>
      <c r="F19" s="23" t="s">
        <v>428</v>
      </c>
      <c r="G19" s="27">
        <v>1970</v>
      </c>
      <c r="H19" s="27">
        <v>20</v>
      </c>
      <c r="I19" s="27">
        <v>25</v>
      </c>
      <c r="J19" s="27">
        <v>20</v>
      </c>
      <c r="K19" s="27">
        <v>5</v>
      </c>
      <c r="L19" s="27">
        <v>5</v>
      </c>
      <c r="P19" s="28">
        <f t="shared" si="13"/>
        <v>10</v>
      </c>
      <c r="Q19" s="28">
        <f t="shared" si="14"/>
        <v>14.802285714285714</v>
      </c>
      <c r="R19" s="28">
        <f t="shared" si="15"/>
        <v>21.143619047619051</v>
      </c>
      <c r="S19" s="27">
        <v>100</v>
      </c>
      <c r="T19" s="29">
        <f t="shared" si="11"/>
        <v>191.76000000000002</v>
      </c>
      <c r="U19" s="27">
        <v>141</v>
      </c>
      <c r="V19" s="27">
        <v>9</v>
      </c>
      <c r="W19" s="27">
        <v>53</v>
      </c>
      <c r="X19" s="29">
        <f t="shared" si="10"/>
        <v>150</v>
      </c>
      <c r="Y19" s="27" t="s">
        <v>69</v>
      </c>
      <c r="Z19" s="27" t="s">
        <v>315</v>
      </c>
      <c r="AA19" s="29">
        <f t="shared" si="16"/>
        <v>3</v>
      </c>
      <c r="AB19" s="29">
        <f t="shared" si="17"/>
        <v>8</v>
      </c>
      <c r="AC19" s="29" t="str">
        <f t="shared" si="18"/>
        <v/>
      </c>
      <c r="AD19" s="29" t="str">
        <f t="shared" si="19"/>
        <v/>
      </c>
      <c r="AE19" s="29" t="str">
        <f t="shared" si="20"/>
        <v/>
      </c>
      <c r="AF19" s="29" t="str">
        <f t="shared" si="21"/>
        <v/>
      </c>
      <c r="AG19" s="27">
        <v>11</v>
      </c>
      <c r="AH19" s="27">
        <v>0</v>
      </c>
      <c r="AI19" s="27">
        <v>0</v>
      </c>
      <c r="AJ19" s="23" t="s">
        <v>401</v>
      </c>
      <c r="AK19" s="23" t="s">
        <v>427</v>
      </c>
      <c r="AN19" s="31" t="str">
        <f t="shared" si="12"/>
        <v>2 doors</v>
      </c>
      <c r="AO19" s="23" t="s">
        <v>314</v>
      </c>
      <c r="AP19" s="23" t="s">
        <v>211</v>
      </c>
      <c r="AQ19" s="23" t="s">
        <v>78</v>
      </c>
      <c r="AR19" s="34">
        <f t="shared" si="22"/>
        <v>2131</v>
      </c>
      <c r="AS19" s="23">
        <v>21</v>
      </c>
      <c r="AT19" s="23">
        <v>31</v>
      </c>
      <c r="AU19" s="23">
        <v>0</v>
      </c>
    </row>
    <row r="20" spans="1:47">
      <c r="A20" s="23" t="s">
        <v>427</v>
      </c>
      <c r="B20" s="23" t="s">
        <v>373</v>
      </c>
      <c r="C20" s="23">
        <v>2</v>
      </c>
      <c r="E20" s="23" t="s">
        <v>60</v>
      </c>
      <c r="F20" s="23" t="s">
        <v>428</v>
      </c>
      <c r="G20" s="27">
        <v>1970</v>
      </c>
      <c r="H20" s="27">
        <v>20</v>
      </c>
      <c r="I20" s="27">
        <v>25</v>
      </c>
      <c r="J20" s="27">
        <v>20</v>
      </c>
      <c r="K20" s="27">
        <v>5</v>
      </c>
      <c r="L20" s="27">
        <v>5</v>
      </c>
      <c r="P20" s="28">
        <f t="shared" si="13"/>
        <v>10</v>
      </c>
      <c r="Q20" s="28">
        <f t="shared" si="14"/>
        <v>14.802285714285714</v>
      </c>
      <c r="R20" s="28">
        <f t="shared" si="15"/>
        <v>21.143619047619051</v>
      </c>
      <c r="S20" s="27">
        <v>100</v>
      </c>
      <c r="T20" s="29">
        <f t="shared" si="11"/>
        <v>191.76000000000002</v>
      </c>
      <c r="U20" s="27">
        <v>141</v>
      </c>
      <c r="V20" s="27">
        <v>9</v>
      </c>
      <c r="W20" s="27">
        <v>53</v>
      </c>
      <c r="X20" s="29">
        <f t="shared" si="10"/>
        <v>150</v>
      </c>
      <c r="Y20" s="27" t="s">
        <v>102</v>
      </c>
      <c r="Z20" s="27" t="s">
        <v>316</v>
      </c>
      <c r="AA20" s="29">
        <f t="shared" si="16"/>
        <v>3</v>
      </c>
      <c r="AB20" s="29">
        <f t="shared" si="17"/>
        <v>8</v>
      </c>
      <c r="AC20" s="29" t="str">
        <f t="shared" si="18"/>
        <v/>
      </c>
      <c r="AD20" s="29" t="str">
        <f t="shared" si="19"/>
        <v/>
      </c>
      <c r="AE20" s="29" t="str">
        <f t="shared" si="20"/>
        <v/>
      </c>
      <c r="AF20" s="29" t="str">
        <f t="shared" si="21"/>
        <v/>
      </c>
      <c r="AG20" s="27">
        <v>11</v>
      </c>
      <c r="AH20" s="27">
        <v>0</v>
      </c>
      <c r="AI20" s="27">
        <v>0</v>
      </c>
      <c r="AJ20" s="23" t="s">
        <v>401</v>
      </c>
      <c r="AK20" s="23" t="s">
        <v>427</v>
      </c>
      <c r="AN20" s="31" t="str">
        <f t="shared" si="12"/>
        <v>2 doors</v>
      </c>
      <c r="AO20" s="23" t="s">
        <v>314</v>
      </c>
      <c r="AP20" s="23" t="s">
        <v>211</v>
      </c>
      <c r="AQ20" s="23" t="s">
        <v>78</v>
      </c>
      <c r="AR20" s="34">
        <f t="shared" si="22"/>
        <v>2131.0100000000002</v>
      </c>
      <c r="AS20" s="23">
        <v>21</v>
      </c>
      <c r="AT20" s="23">
        <v>31</v>
      </c>
      <c r="AU20" s="23">
        <v>1</v>
      </c>
    </row>
    <row r="21" spans="1:47">
      <c r="A21" s="23" t="s">
        <v>419</v>
      </c>
      <c r="B21" s="23" t="s">
        <v>373</v>
      </c>
      <c r="C21" s="23">
        <v>2</v>
      </c>
      <c r="E21" s="23" t="s">
        <v>60</v>
      </c>
      <c r="F21" s="23" t="s">
        <v>421</v>
      </c>
      <c r="G21" s="27">
        <v>1971</v>
      </c>
      <c r="H21" s="27">
        <v>20</v>
      </c>
      <c r="I21" s="27">
        <v>25</v>
      </c>
      <c r="J21" s="27">
        <v>20</v>
      </c>
      <c r="K21" s="27">
        <v>5</v>
      </c>
      <c r="L21" s="27">
        <v>5</v>
      </c>
      <c r="P21" s="28">
        <f t="shared" si="13"/>
        <v>10</v>
      </c>
      <c r="Q21" s="28">
        <f t="shared" si="14"/>
        <v>17.454285714285717</v>
      </c>
      <c r="R21" s="28">
        <f t="shared" si="15"/>
        <v>26.747619047619054</v>
      </c>
      <c r="S21" s="27">
        <v>102</v>
      </c>
      <c r="T21" s="29">
        <f t="shared" si="11"/>
        <v>244.8</v>
      </c>
      <c r="U21" s="27">
        <v>180</v>
      </c>
      <c r="V21" s="27">
        <v>9</v>
      </c>
      <c r="W21" s="27">
        <v>98</v>
      </c>
      <c r="X21" s="29">
        <f t="shared" si="10"/>
        <v>150</v>
      </c>
      <c r="Y21" s="27" t="s">
        <v>69</v>
      </c>
      <c r="Z21" s="27" t="s">
        <v>315</v>
      </c>
      <c r="AA21" s="29">
        <f t="shared" si="16"/>
        <v>4</v>
      </c>
      <c r="AB21" s="29">
        <f t="shared" si="17"/>
        <v>8</v>
      </c>
      <c r="AC21" s="29" t="str">
        <f t="shared" si="18"/>
        <v/>
      </c>
      <c r="AD21" s="29" t="str">
        <f t="shared" si="19"/>
        <v/>
      </c>
      <c r="AE21" s="29" t="str">
        <f t="shared" si="20"/>
        <v/>
      </c>
      <c r="AF21" s="29" t="str">
        <f t="shared" si="21"/>
        <v/>
      </c>
      <c r="AG21" s="27">
        <v>12</v>
      </c>
      <c r="AH21" s="27">
        <v>0</v>
      </c>
      <c r="AI21" s="27">
        <v>0</v>
      </c>
      <c r="AJ21" s="23" t="s">
        <v>401</v>
      </c>
      <c r="AK21" s="23" t="s">
        <v>419</v>
      </c>
      <c r="AN21" s="31" t="str">
        <f t="shared" si="12"/>
        <v>2 doors</v>
      </c>
      <c r="AO21" s="23" t="s">
        <v>314</v>
      </c>
      <c r="AP21" s="23" t="s">
        <v>211</v>
      </c>
      <c r="AQ21" s="23" t="s">
        <v>78</v>
      </c>
      <c r="AR21" s="34">
        <f t="shared" si="22"/>
        <v>2145</v>
      </c>
      <c r="AS21" s="23">
        <v>21</v>
      </c>
      <c r="AT21" s="23">
        <v>45</v>
      </c>
      <c r="AU21" s="23">
        <v>0</v>
      </c>
    </row>
    <row r="22" spans="1:47">
      <c r="A22" s="23" t="s">
        <v>419</v>
      </c>
      <c r="B22" s="23" t="s">
        <v>373</v>
      </c>
      <c r="C22" s="23">
        <v>2</v>
      </c>
      <c r="E22" s="23" t="s">
        <v>60</v>
      </c>
      <c r="F22" s="23" t="s">
        <v>421</v>
      </c>
      <c r="G22" s="27">
        <v>1971</v>
      </c>
      <c r="H22" s="27">
        <v>20</v>
      </c>
      <c r="I22" s="27">
        <v>25</v>
      </c>
      <c r="J22" s="27">
        <v>20</v>
      </c>
      <c r="K22" s="27">
        <v>5</v>
      </c>
      <c r="L22" s="27">
        <v>5</v>
      </c>
      <c r="P22" s="28">
        <f t="shared" si="13"/>
        <v>10</v>
      </c>
      <c r="Q22" s="28">
        <f t="shared" si="14"/>
        <v>17.454285714285717</v>
      </c>
      <c r="R22" s="28">
        <f t="shared" si="15"/>
        <v>26.747619047619054</v>
      </c>
      <c r="S22" s="27">
        <v>102</v>
      </c>
      <c r="T22" s="29">
        <f t="shared" si="11"/>
        <v>244.8</v>
      </c>
      <c r="U22" s="27">
        <v>180</v>
      </c>
      <c r="V22" s="27">
        <v>9</v>
      </c>
      <c r="W22" s="27">
        <v>98</v>
      </c>
      <c r="X22" s="29">
        <f t="shared" ref="X22:X25" si="23">IF(AP22="Regional", 185, IF(AP22="Intercity", 150, IF(AP22="Tourist", 100, 200)))</f>
        <v>150</v>
      </c>
      <c r="Y22" s="27" t="s">
        <v>102</v>
      </c>
      <c r="Z22" s="27" t="s">
        <v>316</v>
      </c>
      <c r="AA22" s="29">
        <f t="shared" si="16"/>
        <v>4</v>
      </c>
      <c r="AB22" s="29">
        <f t="shared" si="17"/>
        <v>8</v>
      </c>
      <c r="AC22" s="29" t="str">
        <f t="shared" si="18"/>
        <v/>
      </c>
      <c r="AD22" s="29" t="str">
        <f t="shared" si="19"/>
        <v/>
      </c>
      <c r="AE22" s="29" t="str">
        <f t="shared" si="20"/>
        <v/>
      </c>
      <c r="AF22" s="29" t="str">
        <f t="shared" si="21"/>
        <v/>
      </c>
      <c r="AG22" s="27">
        <v>12</v>
      </c>
      <c r="AH22" s="27">
        <v>0</v>
      </c>
      <c r="AI22" s="27">
        <v>0</v>
      </c>
      <c r="AJ22" s="23" t="s">
        <v>401</v>
      </c>
      <c r="AK22" s="23" t="s">
        <v>419</v>
      </c>
      <c r="AN22" s="31" t="str">
        <f t="shared" si="12"/>
        <v>2 doors</v>
      </c>
      <c r="AO22" s="23" t="s">
        <v>314</v>
      </c>
      <c r="AP22" s="23" t="s">
        <v>211</v>
      </c>
      <c r="AQ22" s="23" t="s">
        <v>78</v>
      </c>
      <c r="AR22" s="34">
        <f>(AS22*100)+AT22+(AU22/100)</f>
        <v>2145.0100000000002</v>
      </c>
      <c r="AS22" s="23">
        <v>21</v>
      </c>
      <c r="AT22" s="23">
        <v>45</v>
      </c>
      <c r="AU22" s="23">
        <v>1</v>
      </c>
    </row>
    <row r="23" spans="1:47">
      <c r="A23" s="23" t="s">
        <v>419</v>
      </c>
      <c r="B23" s="23" t="s">
        <v>373</v>
      </c>
      <c r="C23" s="23">
        <v>2</v>
      </c>
      <c r="E23" s="23" t="s">
        <v>60</v>
      </c>
      <c r="F23" s="23" t="s">
        <v>421</v>
      </c>
      <c r="G23" s="27">
        <v>1971</v>
      </c>
      <c r="H23" s="27">
        <v>20</v>
      </c>
      <c r="I23" s="27">
        <v>25</v>
      </c>
      <c r="J23" s="27">
        <v>20</v>
      </c>
      <c r="K23" s="27">
        <v>5</v>
      </c>
      <c r="L23" s="27">
        <v>5</v>
      </c>
      <c r="P23" s="28">
        <f t="shared" ref="P23" si="24">SUM(K23:O23)</f>
        <v>10</v>
      </c>
      <c r="Q23" s="28">
        <f t="shared" ref="Q23" si="25">IF(OR(E23="diesel", E23="petrol"), ((V23+(T23/10))/2)+(P23/14), IF(OR(E23="cng", E23="hybrid"), ((V23+(T23/10))/2*1.2)+(P23/14), IF(OR(E23="hydrogen", E23="electric"), ((V23+(T23/10))/2*1.5)+(P23/14), 0)))</f>
        <v>17.454285714285717</v>
      </c>
      <c r="R23" s="28">
        <f t="shared" ref="R23" si="26">IF(E23="petrol", ((V23+(W23/15)+T23)/10*1.5)+(P23/14), IF(E23="diesel", ((V23+(W23/15)+T23)/10)+(P23/14), IF(OR(E23="cng", E23="hybrid"), ((V23+(W23/15)+T23)/10*0.8)+(P23/14), IF(OR(E23="hydrogen", E23="electric"), ((V23+(W23/15)+T23)/10*0.5)+(P23/14), 0))))</f>
        <v>26.747619047619054</v>
      </c>
      <c r="S23" s="27">
        <v>102</v>
      </c>
      <c r="T23" s="29">
        <f t="shared" si="11"/>
        <v>244.8</v>
      </c>
      <c r="U23" s="27">
        <v>180</v>
      </c>
      <c r="V23" s="27">
        <v>9</v>
      </c>
      <c r="W23" s="27">
        <v>98</v>
      </c>
      <c r="X23" s="29">
        <f t="shared" ref="X23" si="27">IF(AP23="Regional", 185, IF(AP23="Intercity", 150, IF(AP23="Tourist", 100, 200)))</f>
        <v>150</v>
      </c>
      <c r="Y23" s="27" t="s">
        <v>423</v>
      </c>
      <c r="Z23" s="27" t="s">
        <v>390</v>
      </c>
      <c r="AA23" s="29">
        <f t="shared" si="16"/>
        <v>4</v>
      </c>
      <c r="AB23" s="29">
        <f t="shared" si="17"/>
        <v>8</v>
      </c>
      <c r="AC23" s="29" t="str">
        <f t="shared" si="18"/>
        <v/>
      </c>
      <c r="AD23" s="29" t="str">
        <f t="shared" si="19"/>
        <v/>
      </c>
      <c r="AE23" s="29" t="str">
        <f t="shared" si="20"/>
        <v/>
      </c>
      <c r="AF23" s="29" t="str">
        <f t="shared" si="21"/>
        <v/>
      </c>
      <c r="AG23" s="27">
        <v>12</v>
      </c>
      <c r="AH23" s="27">
        <v>0</v>
      </c>
      <c r="AI23" s="27">
        <v>0</v>
      </c>
      <c r="AJ23" s="23" t="s">
        <v>401</v>
      </c>
      <c r="AK23" s="23" t="s">
        <v>419</v>
      </c>
      <c r="AN23" s="31" t="str">
        <f t="shared" ref="AN23" si="28">IF(O23&gt;0, "5 doors", IF(N23&gt;0, "4 doors", IF(M23&gt;0, "3 doors", IF(L23&gt;0, "2 doors", "1 door"))))</f>
        <v>2 doors</v>
      </c>
      <c r="AO23" s="23" t="s">
        <v>314</v>
      </c>
      <c r="AP23" s="23" t="s">
        <v>211</v>
      </c>
      <c r="AQ23" s="23" t="s">
        <v>191</v>
      </c>
      <c r="AR23" s="34">
        <f t="shared" ref="AR23" si="29">(AS23*100)+AT23+(AU23/100)</f>
        <v>2145.02</v>
      </c>
      <c r="AS23" s="23">
        <v>21</v>
      </c>
      <c r="AT23" s="23">
        <v>45</v>
      </c>
      <c r="AU23" s="23">
        <v>2</v>
      </c>
    </row>
    <row r="24" spans="1:47">
      <c r="A24" s="23" t="s">
        <v>419</v>
      </c>
      <c r="B24" s="23" t="s">
        <v>420</v>
      </c>
      <c r="C24" s="23">
        <v>2</v>
      </c>
      <c r="E24" s="23" t="s">
        <v>60</v>
      </c>
      <c r="F24" s="23" t="s">
        <v>422</v>
      </c>
      <c r="G24" s="27">
        <v>1971</v>
      </c>
      <c r="H24" s="27">
        <v>20</v>
      </c>
      <c r="I24" s="27">
        <v>25</v>
      </c>
      <c r="J24" s="27">
        <v>20</v>
      </c>
      <c r="K24" s="27">
        <v>5</v>
      </c>
      <c r="L24" s="27">
        <v>5</v>
      </c>
      <c r="P24" s="28">
        <f t="shared" si="0"/>
        <v>10</v>
      </c>
      <c r="Q24" s="28">
        <f t="shared" si="1"/>
        <v>17.454285714285717</v>
      </c>
      <c r="R24" s="28">
        <f t="shared" si="2"/>
        <v>26.747619047619054</v>
      </c>
      <c r="S24" s="27">
        <v>102</v>
      </c>
      <c r="T24" s="29">
        <f t="shared" si="11"/>
        <v>244.8</v>
      </c>
      <c r="U24" s="27">
        <v>180</v>
      </c>
      <c r="V24" s="27">
        <v>9</v>
      </c>
      <c r="W24" s="27">
        <v>98</v>
      </c>
      <c r="X24" s="29">
        <f t="shared" ref="X24" si="30">IF(AP24="Regional", 185, IF(AP24="Intercity", 150, IF(AP24="Tourist", 100, 200)))</f>
        <v>100</v>
      </c>
      <c r="Y24" s="27" t="s">
        <v>69</v>
      </c>
      <c r="Z24" s="27" t="s">
        <v>315</v>
      </c>
      <c r="AA24" s="29">
        <f t="shared" si="16"/>
        <v>4</v>
      </c>
      <c r="AB24" s="29">
        <f t="shared" si="17"/>
        <v>8</v>
      </c>
      <c r="AC24" s="29" t="str">
        <f t="shared" si="18"/>
        <v/>
      </c>
      <c r="AD24" s="29" t="str">
        <f t="shared" si="19"/>
        <v/>
      </c>
      <c r="AE24" s="29" t="str">
        <f t="shared" si="20"/>
        <v/>
      </c>
      <c r="AF24" s="29" t="str">
        <f t="shared" si="21"/>
        <v/>
      </c>
      <c r="AG24" s="27">
        <v>12</v>
      </c>
      <c r="AH24" s="27">
        <v>0</v>
      </c>
      <c r="AI24" s="27">
        <v>0</v>
      </c>
      <c r="AJ24" s="23" t="s">
        <v>401</v>
      </c>
      <c r="AK24" s="23" t="s">
        <v>419</v>
      </c>
      <c r="AN24" s="31" t="str">
        <f t="shared" si="12"/>
        <v>2 doors</v>
      </c>
      <c r="AO24" s="23" t="s">
        <v>314</v>
      </c>
      <c r="AP24" s="23" t="s">
        <v>214</v>
      </c>
      <c r="AQ24" s="23" t="s">
        <v>78</v>
      </c>
      <c r="AR24" s="34">
        <f t="shared" ref="AR24:AR55" si="31">(AS24*100)+AT24+(AU24/100)</f>
        <v>2146</v>
      </c>
      <c r="AS24" s="23">
        <v>21</v>
      </c>
      <c r="AT24" s="23">
        <v>46</v>
      </c>
      <c r="AU24" s="23">
        <v>0</v>
      </c>
    </row>
    <row r="25" spans="1:47">
      <c r="A25" s="23" t="s">
        <v>419</v>
      </c>
      <c r="B25" s="23" t="s">
        <v>420</v>
      </c>
      <c r="C25" s="23">
        <v>2</v>
      </c>
      <c r="E25" s="23" t="s">
        <v>60</v>
      </c>
      <c r="F25" s="23" t="s">
        <v>422</v>
      </c>
      <c r="G25" s="27">
        <v>1971</v>
      </c>
      <c r="H25" s="27">
        <v>20</v>
      </c>
      <c r="I25" s="27">
        <v>25</v>
      </c>
      <c r="J25" s="27">
        <v>20</v>
      </c>
      <c r="K25" s="27">
        <v>5</v>
      </c>
      <c r="L25" s="27">
        <v>5</v>
      </c>
      <c r="P25" s="28">
        <f t="shared" si="0"/>
        <v>10</v>
      </c>
      <c r="Q25" s="28">
        <f t="shared" si="1"/>
        <v>17.454285714285717</v>
      </c>
      <c r="R25" s="28">
        <f t="shared" si="2"/>
        <v>26.747619047619054</v>
      </c>
      <c r="S25" s="27">
        <v>102</v>
      </c>
      <c r="T25" s="29">
        <f t="shared" si="11"/>
        <v>244.8</v>
      </c>
      <c r="U25" s="27">
        <v>180</v>
      </c>
      <c r="V25" s="27">
        <v>9</v>
      </c>
      <c r="W25" s="27">
        <v>98</v>
      </c>
      <c r="X25" s="29">
        <f t="shared" si="23"/>
        <v>100</v>
      </c>
      <c r="Y25" s="27" t="s">
        <v>102</v>
      </c>
      <c r="Z25" s="27" t="s">
        <v>316</v>
      </c>
      <c r="AA25" s="29">
        <f t="shared" si="3"/>
        <v>4</v>
      </c>
      <c r="AB25" s="29">
        <f t="shared" si="4"/>
        <v>8</v>
      </c>
      <c r="AC25" s="29" t="str">
        <f t="shared" si="5"/>
        <v/>
      </c>
      <c r="AD25" s="29" t="str">
        <f t="shared" si="6"/>
        <v/>
      </c>
      <c r="AE25" s="29" t="str">
        <f t="shared" si="7"/>
        <v/>
      </c>
      <c r="AF25" s="29" t="str">
        <f t="shared" si="8"/>
        <v/>
      </c>
      <c r="AG25" s="27">
        <v>12</v>
      </c>
      <c r="AH25" s="27">
        <v>0</v>
      </c>
      <c r="AI25" s="27">
        <v>0</v>
      </c>
      <c r="AJ25" s="23" t="s">
        <v>401</v>
      </c>
      <c r="AK25" s="23" t="s">
        <v>419</v>
      </c>
      <c r="AN25" s="31" t="str">
        <f t="shared" si="12"/>
        <v>2 doors</v>
      </c>
      <c r="AO25" s="23" t="s">
        <v>314</v>
      </c>
      <c r="AP25" s="23" t="s">
        <v>214</v>
      </c>
      <c r="AQ25" s="23" t="s">
        <v>78</v>
      </c>
      <c r="AR25" s="34">
        <f t="shared" si="31"/>
        <v>2146.0100000000002</v>
      </c>
      <c r="AS25" s="23">
        <v>21</v>
      </c>
      <c r="AT25" s="23">
        <v>46</v>
      </c>
      <c r="AU25" s="23">
        <v>1</v>
      </c>
    </row>
    <row r="26" spans="1:47">
      <c r="A26" s="23" t="s">
        <v>313</v>
      </c>
      <c r="B26" s="23" t="s">
        <v>372</v>
      </c>
      <c r="C26" s="23">
        <v>3</v>
      </c>
      <c r="E26" s="23" t="s">
        <v>60</v>
      </c>
      <c r="F26" s="23" t="s">
        <v>406</v>
      </c>
      <c r="G26" s="27">
        <v>1971</v>
      </c>
      <c r="H26" s="27">
        <v>20</v>
      </c>
      <c r="I26" s="27">
        <v>25</v>
      </c>
      <c r="J26" s="27">
        <v>20</v>
      </c>
      <c r="K26" s="27">
        <v>10</v>
      </c>
      <c r="L26" s="27">
        <v>10</v>
      </c>
      <c r="M26" s="27">
        <v>10</v>
      </c>
      <c r="P26" s="28">
        <f t="shared" si="0"/>
        <v>30</v>
      </c>
      <c r="Q26" s="28">
        <f t="shared" si="1"/>
        <v>16.230857142857143</v>
      </c>
      <c r="R26" s="28">
        <f t="shared" si="2"/>
        <v>22.872190476190479</v>
      </c>
      <c r="S26" s="27">
        <v>70</v>
      </c>
      <c r="T26" s="29">
        <f t="shared" si="11"/>
        <v>191.76000000000002</v>
      </c>
      <c r="U26" s="27">
        <v>141</v>
      </c>
      <c r="V26" s="27">
        <v>9</v>
      </c>
      <c r="W26" s="27">
        <v>98</v>
      </c>
      <c r="X26" s="29">
        <f t="shared" si="10"/>
        <v>200</v>
      </c>
      <c r="Y26" s="27" t="s">
        <v>69</v>
      </c>
      <c r="Z26" s="27" t="s">
        <v>315</v>
      </c>
      <c r="AA26" s="29">
        <f t="shared" si="3"/>
        <v>4</v>
      </c>
      <c r="AB26" s="29">
        <f t="shared" si="4"/>
        <v>8</v>
      </c>
      <c r="AC26" s="29" t="str">
        <f t="shared" si="5"/>
        <v/>
      </c>
      <c r="AD26" s="29" t="str">
        <f t="shared" si="6"/>
        <v/>
      </c>
      <c r="AE26" s="29" t="str">
        <f t="shared" si="7"/>
        <v/>
      </c>
      <c r="AF26" s="29" t="str">
        <f t="shared" si="8"/>
        <v/>
      </c>
      <c r="AG26" s="27">
        <v>12</v>
      </c>
      <c r="AH26" s="27">
        <v>0</v>
      </c>
      <c r="AI26" s="27">
        <v>0</v>
      </c>
      <c r="AJ26" s="23" t="s">
        <v>401</v>
      </c>
      <c r="AK26" s="23" t="s">
        <v>402</v>
      </c>
      <c r="AN26" s="31" t="str">
        <f t="shared" si="12"/>
        <v>3 doors</v>
      </c>
      <c r="AO26" s="23" t="s">
        <v>314</v>
      </c>
      <c r="AP26" s="23" t="s">
        <v>71</v>
      </c>
      <c r="AQ26" s="23" t="s">
        <v>78</v>
      </c>
      <c r="AR26" s="34">
        <f t="shared" si="31"/>
        <v>2150</v>
      </c>
      <c r="AS26" s="23">
        <v>21</v>
      </c>
      <c r="AT26" s="23">
        <v>50</v>
      </c>
      <c r="AU26" s="23">
        <v>0</v>
      </c>
    </row>
    <row r="27" spans="1:47">
      <c r="A27" s="23" t="s">
        <v>313</v>
      </c>
      <c r="B27" s="23" t="s">
        <v>372</v>
      </c>
      <c r="C27" s="23">
        <v>3</v>
      </c>
      <c r="E27" s="23" t="s">
        <v>60</v>
      </c>
      <c r="F27" s="23" t="s">
        <v>406</v>
      </c>
      <c r="G27" s="27">
        <v>1971</v>
      </c>
      <c r="H27" s="27">
        <v>20</v>
      </c>
      <c r="I27" s="27">
        <v>25</v>
      </c>
      <c r="J27" s="27">
        <v>20</v>
      </c>
      <c r="K27" s="27">
        <v>10</v>
      </c>
      <c r="L27" s="27">
        <v>10</v>
      </c>
      <c r="M27" s="27">
        <v>10</v>
      </c>
      <c r="P27" s="28">
        <f t="shared" si="0"/>
        <v>30</v>
      </c>
      <c r="Q27" s="28">
        <f t="shared" si="1"/>
        <v>16.230857142857143</v>
      </c>
      <c r="R27" s="28">
        <f t="shared" si="2"/>
        <v>22.872190476190479</v>
      </c>
      <c r="S27" s="27">
        <v>70</v>
      </c>
      <c r="T27" s="29">
        <f t="shared" si="11"/>
        <v>191.76000000000002</v>
      </c>
      <c r="U27" s="27">
        <v>141</v>
      </c>
      <c r="V27" s="27">
        <v>9</v>
      </c>
      <c r="W27" s="27">
        <v>98</v>
      </c>
      <c r="X27" s="29">
        <f t="shared" si="10"/>
        <v>200</v>
      </c>
      <c r="Y27" s="27" t="s">
        <v>102</v>
      </c>
      <c r="Z27" s="27" t="s">
        <v>316</v>
      </c>
      <c r="AA27" s="29">
        <f t="shared" si="3"/>
        <v>4</v>
      </c>
      <c r="AB27" s="29">
        <f t="shared" si="4"/>
        <v>8</v>
      </c>
      <c r="AC27" s="29" t="str">
        <f t="shared" si="5"/>
        <v/>
      </c>
      <c r="AD27" s="29" t="str">
        <f t="shared" si="6"/>
        <v/>
      </c>
      <c r="AE27" s="29" t="str">
        <f t="shared" si="7"/>
        <v/>
      </c>
      <c r="AF27" s="29" t="str">
        <f t="shared" si="8"/>
        <v/>
      </c>
      <c r="AG27" s="27">
        <v>12</v>
      </c>
      <c r="AH27" s="27">
        <v>0</v>
      </c>
      <c r="AI27" s="27">
        <v>0</v>
      </c>
      <c r="AJ27" s="23" t="s">
        <v>401</v>
      </c>
      <c r="AK27" s="23" t="s">
        <v>402</v>
      </c>
      <c r="AN27" s="31" t="str">
        <f t="shared" si="12"/>
        <v>3 doors</v>
      </c>
      <c r="AO27" s="23" t="s">
        <v>314</v>
      </c>
      <c r="AP27" s="23" t="s">
        <v>71</v>
      </c>
      <c r="AQ27" s="23" t="s">
        <v>78</v>
      </c>
      <c r="AR27" s="34">
        <f t="shared" si="31"/>
        <v>2150.0100000000002</v>
      </c>
      <c r="AS27" s="23">
        <v>21</v>
      </c>
      <c r="AT27" s="23">
        <v>50</v>
      </c>
      <c r="AU27" s="23">
        <v>1</v>
      </c>
    </row>
    <row r="28" spans="1:47">
      <c r="A28" s="23" t="s">
        <v>313</v>
      </c>
      <c r="B28" s="23" t="s">
        <v>372</v>
      </c>
      <c r="C28" s="23">
        <v>3</v>
      </c>
      <c r="E28" s="23" t="s">
        <v>60</v>
      </c>
      <c r="F28" s="23" t="s">
        <v>406</v>
      </c>
      <c r="G28" s="27">
        <v>1971</v>
      </c>
      <c r="H28" s="27">
        <v>20</v>
      </c>
      <c r="I28" s="27">
        <v>25</v>
      </c>
      <c r="J28" s="27">
        <v>20</v>
      </c>
      <c r="K28" s="27">
        <v>10</v>
      </c>
      <c r="L28" s="27">
        <v>10</v>
      </c>
      <c r="M28" s="27">
        <v>10</v>
      </c>
      <c r="P28" s="28">
        <f t="shared" si="0"/>
        <v>30</v>
      </c>
      <c r="Q28" s="28">
        <f t="shared" si="1"/>
        <v>16.230857142857143</v>
      </c>
      <c r="R28" s="28">
        <f t="shared" si="2"/>
        <v>22.872190476190479</v>
      </c>
      <c r="S28" s="27">
        <v>70</v>
      </c>
      <c r="T28" s="29">
        <f t="shared" si="11"/>
        <v>191.76000000000002</v>
      </c>
      <c r="U28" s="27">
        <v>141</v>
      </c>
      <c r="V28" s="27">
        <v>9</v>
      </c>
      <c r="W28" s="27">
        <v>98</v>
      </c>
      <c r="X28" s="29">
        <f t="shared" si="10"/>
        <v>200</v>
      </c>
      <c r="Y28" s="27" t="s">
        <v>287</v>
      </c>
      <c r="Z28" s="27" t="s">
        <v>287</v>
      </c>
      <c r="AA28" s="29">
        <f t="shared" si="3"/>
        <v>4</v>
      </c>
      <c r="AB28" s="29">
        <f t="shared" si="4"/>
        <v>8</v>
      </c>
      <c r="AC28" s="29" t="str">
        <f t="shared" si="5"/>
        <v/>
      </c>
      <c r="AD28" s="29" t="str">
        <f t="shared" si="6"/>
        <v/>
      </c>
      <c r="AE28" s="29" t="str">
        <f t="shared" si="7"/>
        <v/>
      </c>
      <c r="AF28" s="29" t="str">
        <f t="shared" si="8"/>
        <v/>
      </c>
      <c r="AG28" s="27">
        <v>12</v>
      </c>
      <c r="AH28" s="27">
        <v>0</v>
      </c>
      <c r="AI28" s="27">
        <v>0</v>
      </c>
      <c r="AJ28" s="23" t="s">
        <v>401</v>
      </c>
      <c r="AK28" s="23" t="s">
        <v>402</v>
      </c>
      <c r="AN28" s="31" t="str">
        <f t="shared" si="12"/>
        <v>3 doors</v>
      </c>
      <c r="AO28" s="23" t="s">
        <v>314</v>
      </c>
      <c r="AP28" s="23" t="s">
        <v>71</v>
      </c>
      <c r="AQ28" s="23" t="s">
        <v>191</v>
      </c>
      <c r="AR28" s="34">
        <f t="shared" si="31"/>
        <v>2150.02</v>
      </c>
      <c r="AS28" s="23">
        <v>21</v>
      </c>
      <c r="AT28" s="23">
        <v>50</v>
      </c>
      <c r="AU28" s="23">
        <v>2</v>
      </c>
    </row>
    <row r="29" spans="1:47">
      <c r="A29" s="23" t="s">
        <v>387</v>
      </c>
      <c r="B29" s="23" t="s">
        <v>405</v>
      </c>
      <c r="C29" s="23">
        <v>3</v>
      </c>
      <c r="E29" s="23" t="s">
        <v>60</v>
      </c>
      <c r="F29" s="23" t="s">
        <v>408</v>
      </c>
      <c r="G29" s="27">
        <v>1996</v>
      </c>
      <c r="H29" s="27">
        <v>20</v>
      </c>
      <c r="I29" s="27">
        <v>25</v>
      </c>
      <c r="J29" s="27">
        <v>20</v>
      </c>
      <c r="K29" s="27">
        <v>10</v>
      </c>
      <c r="L29" s="27">
        <v>10</v>
      </c>
      <c r="P29" s="28">
        <f t="shared" si="0"/>
        <v>20</v>
      </c>
      <c r="Q29" s="28">
        <f t="shared" si="1"/>
        <v>16.944571428571429</v>
      </c>
      <c r="R29" s="28">
        <f t="shared" si="2"/>
        <v>25.013904761904762</v>
      </c>
      <c r="S29" s="27">
        <v>70</v>
      </c>
      <c r="T29" s="29">
        <f t="shared" si="11"/>
        <v>220.32000000000002</v>
      </c>
      <c r="U29" s="27">
        <v>162</v>
      </c>
      <c r="V29" s="27">
        <v>9</v>
      </c>
      <c r="W29" s="27">
        <v>98</v>
      </c>
      <c r="X29" s="29">
        <f t="shared" si="10"/>
        <v>200</v>
      </c>
      <c r="Y29" s="27" t="s">
        <v>69</v>
      </c>
      <c r="Z29" s="27" t="s">
        <v>315</v>
      </c>
      <c r="AA29" s="29">
        <f t="shared" si="3"/>
        <v>4</v>
      </c>
      <c r="AB29" s="29">
        <f t="shared" si="4"/>
        <v>8</v>
      </c>
      <c r="AC29" s="29" t="str">
        <f t="shared" si="5"/>
        <v/>
      </c>
      <c r="AD29" s="29" t="str">
        <f t="shared" si="6"/>
        <v/>
      </c>
      <c r="AE29" s="29" t="str">
        <f t="shared" si="7"/>
        <v/>
      </c>
      <c r="AF29" s="29" t="str">
        <f t="shared" si="8"/>
        <v/>
      </c>
      <c r="AG29" s="27">
        <v>12</v>
      </c>
      <c r="AH29" s="27">
        <v>0</v>
      </c>
      <c r="AI29" s="27">
        <v>0</v>
      </c>
      <c r="AJ29" s="23" t="s">
        <v>401</v>
      </c>
      <c r="AK29" s="23" t="s">
        <v>402</v>
      </c>
      <c r="AN29" s="31" t="str">
        <f t="shared" si="12"/>
        <v>2 doors</v>
      </c>
      <c r="AO29" s="23" t="s">
        <v>314</v>
      </c>
      <c r="AP29" s="23" t="s">
        <v>72</v>
      </c>
      <c r="AQ29" s="23" t="s">
        <v>78</v>
      </c>
      <c r="AR29" s="34">
        <f t="shared" si="31"/>
        <v>2151</v>
      </c>
      <c r="AS29" s="23">
        <v>21</v>
      </c>
      <c r="AT29" s="23">
        <v>51</v>
      </c>
      <c r="AU29" s="23">
        <v>0</v>
      </c>
    </row>
    <row r="30" spans="1:47">
      <c r="A30" s="23" t="s">
        <v>387</v>
      </c>
      <c r="B30" s="23" t="s">
        <v>405</v>
      </c>
      <c r="C30" s="23">
        <v>3</v>
      </c>
      <c r="E30" s="23" t="s">
        <v>60</v>
      </c>
      <c r="F30" s="23" t="s">
        <v>408</v>
      </c>
      <c r="G30" s="27">
        <v>1996</v>
      </c>
      <c r="H30" s="27">
        <v>20</v>
      </c>
      <c r="I30" s="27">
        <v>25</v>
      </c>
      <c r="J30" s="27">
        <v>20</v>
      </c>
      <c r="K30" s="27">
        <v>10</v>
      </c>
      <c r="L30" s="27">
        <v>10</v>
      </c>
      <c r="P30" s="28">
        <f t="shared" si="0"/>
        <v>20</v>
      </c>
      <c r="Q30" s="28">
        <f t="shared" si="1"/>
        <v>16.944571428571429</v>
      </c>
      <c r="R30" s="28">
        <f t="shared" si="2"/>
        <v>25.013904761904762</v>
      </c>
      <c r="S30" s="27">
        <v>70</v>
      </c>
      <c r="T30" s="29">
        <f t="shared" si="11"/>
        <v>220.32000000000002</v>
      </c>
      <c r="U30" s="27">
        <v>162</v>
      </c>
      <c r="V30" s="27">
        <v>9</v>
      </c>
      <c r="W30" s="27">
        <v>98</v>
      </c>
      <c r="X30" s="29">
        <f t="shared" si="10"/>
        <v>200</v>
      </c>
      <c r="Y30" s="27" t="s">
        <v>102</v>
      </c>
      <c r="Z30" s="27" t="s">
        <v>316</v>
      </c>
      <c r="AA30" s="29">
        <f t="shared" si="3"/>
        <v>4</v>
      </c>
      <c r="AB30" s="29">
        <f t="shared" si="4"/>
        <v>8</v>
      </c>
      <c r="AC30" s="29" t="str">
        <f t="shared" si="5"/>
        <v/>
      </c>
      <c r="AD30" s="29" t="str">
        <f t="shared" si="6"/>
        <v/>
      </c>
      <c r="AE30" s="29" t="str">
        <f t="shared" si="7"/>
        <v/>
      </c>
      <c r="AF30" s="29" t="str">
        <f t="shared" si="8"/>
        <v/>
      </c>
      <c r="AG30" s="27">
        <v>12</v>
      </c>
      <c r="AH30" s="27">
        <v>0</v>
      </c>
      <c r="AI30" s="27">
        <v>0</v>
      </c>
      <c r="AJ30" s="23" t="s">
        <v>401</v>
      </c>
      <c r="AK30" s="23" t="s">
        <v>402</v>
      </c>
      <c r="AN30" s="31" t="str">
        <f t="shared" si="12"/>
        <v>2 doors</v>
      </c>
      <c r="AO30" s="23" t="s">
        <v>314</v>
      </c>
      <c r="AP30" s="23" t="s">
        <v>72</v>
      </c>
      <c r="AQ30" s="23" t="s">
        <v>78</v>
      </c>
      <c r="AR30" s="34">
        <f t="shared" si="31"/>
        <v>2151.0100000000002</v>
      </c>
      <c r="AS30" s="23">
        <v>21</v>
      </c>
      <c r="AT30" s="23">
        <v>51</v>
      </c>
      <c r="AU30" s="23">
        <v>1</v>
      </c>
    </row>
    <row r="31" spans="1:47">
      <c r="A31" s="23" t="s">
        <v>387</v>
      </c>
      <c r="B31" s="23" t="s">
        <v>405</v>
      </c>
      <c r="C31" s="23">
        <v>3</v>
      </c>
      <c r="E31" s="23" t="s">
        <v>60</v>
      </c>
      <c r="F31" s="23" t="s">
        <v>408</v>
      </c>
      <c r="G31" s="27">
        <v>1996</v>
      </c>
      <c r="H31" s="27">
        <v>20</v>
      </c>
      <c r="I31" s="27">
        <v>25</v>
      </c>
      <c r="J31" s="27">
        <v>20</v>
      </c>
      <c r="K31" s="27">
        <v>10</v>
      </c>
      <c r="L31" s="27">
        <v>10</v>
      </c>
      <c r="P31" s="28">
        <f t="shared" si="0"/>
        <v>20</v>
      </c>
      <c r="Q31" s="28">
        <f t="shared" si="1"/>
        <v>16.944571428571429</v>
      </c>
      <c r="R31" s="28">
        <f t="shared" si="2"/>
        <v>25.013904761904762</v>
      </c>
      <c r="S31" s="27">
        <v>70</v>
      </c>
      <c r="T31" s="29">
        <f t="shared" si="11"/>
        <v>220.32000000000002</v>
      </c>
      <c r="U31" s="27">
        <v>162</v>
      </c>
      <c r="V31" s="27">
        <v>9</v>
      </c>
      <c r="W31" s="27">
        <v>98</v>
      </c>
      <c r="X31" s="29">
        <f t="shared" si="10"/>
        <v>200</v>
      </c>
      <c r="Y31" s="27" t="s">
        <v>388</v>
      </c>
      <c r="Z31" s="27" t="s">
        <v>389</v>
      </c>
      <c r="AA31" s="29">
        <f t="shared" si="3"/>
        <v>4</v>
      </c>
      <c r="AB31" s="29">
        <f t="shared" si="4"/>
        <v>8</v>
      </c>
      <c r="AC31" s="29" t="str">
        <f t="shared" si="5"/>
        <v/>
      </c>
      <c r="AD31" s="29" t="str">
        <f t="shared" si="6"/>
        <v/>
      </c>
      <c r="AE31" s="29" t="str">
        <f t="shared" si="7"/>
        <v/>
      </c>
      <c r="AF31" s="29" t="str">
        <f t="shared" si="8"/>
        <v/>
      </c>
      <c r="AG31" s="27">
        <v>12</v>
      </c>
      <c r="AH31" s="27">
        <v>0</v>
      </c>
      <c r="AI31" s="27">
        <v>0</v>
      </c>
      <c r="AJ31" s="23" t="s">
        <v>401</v>
      </c>
      <c r="AK31" s="23" t="s">
        <v>402</v>
      </c>
      <c r="AN31" s="31" t="str">
        <f t="shared" si="12"/>
        <v>2 doors</v>
      </c>
      <c r="AO31" s="23" t="s">
        <v>314</v>
      </c>
      <c r="AP31" s="23" t="s">
        <v>72</v>
      </c>
      <c r="AQ31" s="23" t="s">
        <v>191</v>
      </c>
      <c r="AR31" s="34">
        <f t="shared" si="31"/>
        <v>2151.02</v>
      </c>
      <c r="AS31" s="23">
        <v>21</v>
      </c>
      <c r="AT31" s="23">
        <v>51</v>
      </c>
      <c r="AU31" s="23">
        <v>2</v>
      </c>
    </row>
    <row r="32" spans="1:47">
      <c r="A32" s="23" t="s">
        <v>387</v>
      </c>
      <c r="B32" s="23" t="s">
        <v>405</v>
      </c>
      <c r="C32" s="23">
        <v>3</v>
      </c>
      <c r="E32" s="23" t="s">
        <v>60</v>
      </c>
      <c r="F32" s="23" t="s">
        <v>408</v>
      </c>
      <c r="G32" s="27">
        <v>1996</v>
      </c>
      <c r="H32" s="27">
        <v>20</v>
      </c>
      <c r="I32" s="27">
        <v>25</v>
      </c>
      <c r="J32" s="27">
        <v>20</v>
      </c>
      <c r="K32" s="27">
        <v>10</v>
      </c>
      <c r="L32" s="27">
        <v>10</v>
      </c>
      <c r="P32" s="28">
        <f t="shared" si="0"/>
        <v>20</v>
      </c>
      <c r="Q32" s="28">
        <f t="shared" si="1"/>
        <v>16.944571428571429</v>
      </c>
      <c r="R32" s="28">
        <f t="shared" si="2"/>
        <v>25.013904761904762</v>
      </c>
      <c r="S32" s="27">
        <v>70</v>
      </c>
      <c r="T32" s="29">
        <f t="shared" si="11"/>
        <v>220.32000000000002</v>
      </c>
      <c r="U32" s="27">
        <v>162</v>
      </c>
      <c r="V32" s="27">
        <v>9</v>
      </c>
      <c r="W32" s="27">
        <v>98</v>
      </c>
      <c r="X32" s="29">
        <f t="shared" si="10"/>
        <v>200</v>
      </c>
      <c r="Y32" s="27" t="s">
        <v>192</v>
      </c>
      <c r="Z32" s="27" t="s">
        <v>390</v>
      </c>
      <c r="AA32" s="29">
        <f t="shared" si="3"/>
        <v>4</v>
      </c>
      <c r="AB32" s="29">
        <f t="shared" si="4"/>
        <v>8</v>
      </c>
      <c r="AC32" s="29" t="str">
        <f t="shared" si="5"/>
        <v/>
      </c>
      <c r="AD32" s="29" t="str">
        <f t="shared" si="6"/>
        <v/>
      </c>
      <c r="AE32" s="29" t="str">
        <f t="shared" si="7"/>
        <v/>
      </c>
      <c r="AF32" s="29" t="str">
        <f t="shared" si="8"/>
        <v/>
      </c>
      <c r="AG32" s="27">
        <v>12</v>
      </c>
      <c r="AH32" s="27">
        <v>0</v>
      </c>
      <c r="AI32" s="27">
        <v>0</v>
      </c>
      <c r="AJ32" s="23" t="s">
        <v>401</v>
      </c>
      <c r="AK32" s="23" t="s">
        <v>402</v>
      </c>
      <c r="AN32" s="31" t="str">
        <f t="shared" si="12"/>
        <v>2 doors</v>
      </c>
      <c r="AO32" s="23" t="s">
        <v>314</v>
      </c>
      <c r="AP32" s="23" t="s">
        <v>72</v>
      </c>
      <c r="AQ32" s="23" t="s">
        <v>191</v>
      </c>
      <c r="AR32" s="34">
        <f t="shared" si="31"/>
        <v>2151.0300000000002</v>
      </c>
      <c r="AS32" s="23">
        <v>21</v>
      </c>
      <c r="AT32" s="23">
        <v>51</v>
      </c>
      <c r="AU32" s="23">
        <v>3</v>
      </c>
    </row>
    <row r="33" spans="1:47">
      <c r="A33" s="23" t="s">
        <v>391</v>
      </c>
      <c r="B33" s="23" t="s">
        <v>404</v>
      </c>
      <c r="C33" s="23">
        <v>3</v>
      </c>
      <c r="E33" s="23" t="s">
        <v>60</v>
      </c>
      <c r="F33" s="23" t="s">
        <v>409</v>
      </c>
      <c r="G33" s="27">
        <v>1989</v>
      </c>
      <c r="H33" s="27">
        <v>20</v>
      </c>
      <c r="I33" s="27">
        <v>25</v>
      </c>
      <c r="J33" s="27">
        <v>20</v>
      </c>
      <c r="K33" s="27">
        <v>10</v>
      </c>
      <c r="L33" s="27">
        <v>10</v>
      </c>
      <c r="P33" s="28">
        <f t="shared" si="0"/>
        <v>20</v>
      </c>
      <c r="Q33" s="28">
        <f t="shared" si="1"/>
        <v>16.944571428571429</v>
      </c>
      <c r="R33" s="28">
        <f t="shared" si="2"/>
        <v>25.013904761904762</v>
      </c>
      <c r="S33" s="27">
        <v>90</v>
      </c>
      <c r="T33" s="29">
        <f t="shared" si="11"/>
        <v>220.32000000000002</v>
      </c>
      <c r="U33" s="27">
        <v>162</v>
      </c>
      <c r="V33" s="27">
        <v>9</v>
      </c>
      <c r="W33" s="27">
        <v>98</v>
      </c>
      <c r="X33" s="29">
        <f t="shared" si="10"/>
        <v>185</v>
      </c>
      <c r="Y33" s="27" t="s">
        <v>69</v>
      </c>
      <c r="Z33" s="27" t="s">
        <v>315</v>
      </c>
      <c r="AA33" s="29">
        <f t="shared" si="3"/>
        <v>4</v>
      </c>
      <c r="AB33" s="29">
        <f t="shared" si="4"/>
        <v>8</v>
      </c>
      <c r="AC33" s="29" t="str">
        <f t="shared" si="5"/>
        <v/>
      </c>
      <c r="AD33" s="29" t="str">
        <f t="shared" si="6"/>
        <v/>
      </c>
      <c r="AE33" s="29" t="str">
        <f t="shared" si="7"/>
        <v/>
      </c>
      <c r="AF33" s="29" t="str">
        <f t="shared" si="8"/>
        <v/>
      </c>
      <c r="AG33" s="27">
        <v>12</v>
      </c>
      <c r="AH33" s="27">
        <v>0</v>
      </c>
      <c r="AI33" s="27">
        <v>0</v>
      </c>
      <c r="AJ33" s="23" t="s">
        <v>401</v>
      </c>
      <c r="AK33" s="23" t="s">
        <v>402</v>
      </c>
      <c r="AN33" s="31" t="str">
        <f t="shared" si="12"/>
        <v>2 doors</v>
      </c>
      <c r="AO33" s="23" t="s">
        <v>314</v>
      </c>
      <c r="AP33" s="23" t="s">
        <v>89</v>
      </c>
      <c r="AQ33" s="23" t="s">
        <v>78</v>
      </c>
      <c r="AR33" s="34">
        <f t="shared" si="31"/>
        <v>2152</v>
      </c>
      <c r="AS33" s="23">
        <v>21</v>
      </c>
      <c r="AT33" s="23">
        <v>52</v>
      </c>
      <c r="AU33" s="23">
        <v>0</v>
      </c>
    </row>
    <row r="34" spans="1:47">
      <c r="A34" s="23" t="s">
        <v>391</v>
      </c>
      <c r="B34" s="23" t="s">
        <v>404</v>
      </c>
      <c r="C34" s="23">
        <v>3</v>
      </c>
      <c r="E34" s="23" t="s">
        <v>60</v>
      </c>
      <c r="F34" s="23" t="s">
        <v>409</v>
      </c>
      <c r="G34" s="27">
        <v>1989</v>
      </c>
      <c r="H34" s="27">
        <v>20</v>
      </c>
      <c r="I34" s="27">
        <v>25</v>
      </c>
      <c r="J34" s="27">
        <v>20</v>
      </c>
      <c r="K34" s="27">
        <v>10</v>
      </c>
      <c r="L34" s="27">
        <v>10</v>
      </c>
      <c r="P34" s="28">
        <f t="shared" si="0"/>
        <v>20</v>
      </c>
      <c r="Q34" s="28">
        <f t="shared" si="1"/>
        <v>16.944571428571429</v>
      </c>
      <c r="R34" s="28">
        <f t="shared" si="2"/>
        <v>25.013904761904762</v>
      </c>
      <c r="S34" s="27">
        <v>90</v>
      </c>
      <c r="T34" s="29">
        <f t="shared" si="11"/>
        <v>220.32000000000002</v>
      </c>
      <c r="U34" s="27">
        <v>162</v>
      </c>
      <c r="V34" s="27">
        <v>9</v>
      </c>
      <c r="W34" s="27">
        <v>98</v>
      </c>
      <c r="X34" s="29">
        <f t="shared" si="10"/>
        <v>185</v>
      </c>
      <c r="Y34" s="27" t="s">
        <v>102</v>
      </c>
      <c r="Z34" s="27" t="s">
        <v>316</v>
      </c>
      <c r="AA34" s="29">
        <f t="shared" si="3"/>
        <v>4</v>
      </c>
      <c r="AB34" s="29">
        <f t="shared" si="4"/>
        <v>8</v>
      </c>
      <c r="AC34" s="29" t="str">
        <f t="shared" si="5"/>
        <v/>
      </c>
      <c r="AD34" s="29" t="str">
        <f t="shared" si="6"/>
        <v/>
      </c>
      <c r="AE34" s="29" t="str">
        <f t="shared" si="7"/>
        <v/>
      </c>
      <c r="AF34" s="29" t="str">
        <f t="shared" si="8"/>
        <v/>
      </c>
      <c r="AG34" s="27">
        <v>12</v>
      </c>
      <c r="AH34" s="27">
        <v>0</v>
      </c>
      <c r="AI34" s="27">
        <v>0</v>
      </c>
      <c r="AJ34" s="23" t="s">
        <v>401</v>
      </c>
      <c r="AK34" s="23" t="s">
        <v>402</v>
      </c>
      <c r="AN34" s="31" t="str">
        <f t="shared" si="12"/>
        <v>2 doors</v>
      </c>
      <c r="AO34" s="23" t="s">
        <v>314</v>
      </c>
      <c r="AP34" s="23" t="s">
        <v>89</v>
      </c>
      <c r="AQ34" s="23" t="s">
        <v>78</v>
      </c>
      <c r="AR34" s="34">
        <f t="shared" si="31"/>
        <v>2152.0100000000002</v>
      </c>
      <c r="AS34" s="23">
        <v>21</v>
      </c>
      <c r="AT34" s="23">
        <v>52</v>
      </c>
      <c r="AU34" s="23">
        <v>1</v>
      </c>
    </row>
    <row r="35" spans="1:47">
      <c r="A35" s="23" t="s">
        <v>317</v>
      </c>
      <c r="B35" s="23" t="s">
        <v>372</v>
      </c>
      <c r="C35" s="23">
        <v>3</v>
      </c>
      <c r="E35" s="23" t="s">
        <v>60</v>
      </c>
      <c r="F35" s="23" t="s">
        <v>410</v>
      </c>
      <c r="G35" s="27">
        <v>1985</v>
      </c>
      <c r="H35" s="27">
        <v>20</v>
      </c>
      <c r="I35" s="27">
        <v>25</v>
      </c>
      <c r="J35" s="27">
        <v>20</v>
      </c>
      <c r="K35" s="27">
        <v>10</v>
      </c>
      <c r="L35" s="27">
        <v>10</v>
      </c>
      <c r="M35" s="27">
        <v>10</v>
      </c>
      <c r="P35" s="28">
        <f t="shared" si="0"/>
        <v>30</v>
      </c>
      <c r="Q35" s="28">
        <f t="shared" si="1"/>
        <v>17.658857142857144</v>
      </c>
      <c r="R35" s="28">
        <f t="shared" si="2"/>
        <v>25.728190476190477</v>
      </c>
      <c r="S35" s="27">
        <v>70</v>
      </c>
      <c r="T35" s="29">
        <f t="shared" si="11"/>
        <v>220.32000000000002</v>
      </c>
      <c r="U35" s="27">
        <v>162</v>
      </c>
      <c r="V35" s="27">
        <v>9</v>
      </c>
      <c r="W35" s="27">
        <v>98</v>
      </c>
      <c r="X35" s="29">
        <f t="shared" si="10"/>
        <v>200</v>
      </c>
      <c r="Y35" s="27" t="s">
        <v>69</v>
      </c>
      <c r="Z35" s="27" t="s">
        <v>315</v>
      </c>
      <c r="AA35" s="29">
        <f t="shared" si="3"/>
        <v>4</v>
      </c>
      <c r="AB35" s="29">
        <f t="shared" si="4"/>
        <v>8</v>
      </c>
      <c r="AC35" s="29" t="str">
        <f t="shared" si="5"/>
        <v/>
      </c>
      <c r="AD35" s="29" t="str">
        <f t="shared" si="6"/>
        <v/>
      </c>
      <c r="AE35" s="29" t="str">
        <f t="shared" si="7"/>
        <v/>
      </c>
      <c r="AF35" s="29" t="str">
        <f t="shared" si="8"/>
        <v/>
      </c>
      <c r="AG35" s="27">
        <v>12</v>
      </c>
      <c r="AH35" s="27">
        <v>0</v>
      </c>
      <c r="AI35" s="27">
        <v>0</v>
      </c>
      <c r="AJ35" s="23" t="s">
        <v>401</v>
      </c>
      <c r="AK35" s="23" t="s">
        <v>402</v>
      </c>
      <c r="AN35" s="31" t="str">
        <f t="shared" si="12"/>
        <v>3 doors</v>
      </c>
      <c r="AO35" s="23" t="s">
        <v>314</v>
      </c>
      <c r="AP35" s="23" t="s">
        <v>71</v>
      </c>
      <c r="AQ35" s="23" t="s">
        <v>78</v>
      </c>
      <c r="AR35" s="34">
        <f t="shared" si="31"/>
        <v>2155</v>
      </c>
      <c r="AS35" s="23">
        <v>21</v>
      </c>
      <c r="AT35" s="23">
        <v>55</v>
      </c>
      <c r="AU35" s="23">
        <v>0</v>
      </c>
    </row>
    <row r="36" spans="1:47">
      <c r="A36" s="23" t="s">
        <v>317</v>
      </c>
      <c r="B36" s="23" t="s">
        <v>372</v>
      </c>
      <c r="C36" s="23">
        <v>3</v>
      </c>
      <c r="E36" s="23" t="s">
        <v>60</v>
      </c>
      <c r="F36" s="23" t="s">
        <v>410</v>
      </c>
      <c r="G36" s="27">
        <v>1985</v>
      </c>
      <c r="H36" s="27">
        <v>20</v>
      </c>
      <c r="I36" s="27">
        <v>25</v>
      </c>
      <c r="J36" s="27">
        <v>20</v>
      </c>
      <c r="K36" s="27">
        <v>10</v>
      </c>
      <c r="L36" s="27">
        <v>10</v>
      </c>
      <c r="M36" s="27">
        <v>10</v>
      </c>
      <c r="P36" s="28">
        <f t="shared" si="0"/>
        <v>30</v>
      </c>
      <c r="Q36" s="28">
        <f t="shared" si="1"/>
        <v>17.658857142857144</v>
      </c>
      <c r="R36" s="28">
        <f t="shared" si="2"/>
        <v>25.728190476190477</v>
      </c>
      <c r="S36" s="27">
        <v>70</v>
      </c>
      <c r="T36" s="29">
        <f t="shared" si="11"/>
        <v>220.32000000000002</v>
      </c>
      <c r="U36" s="27">
        <v>162</v>
      </c>
      <c r="V36" s="27">
        <v>9</v>
      </c>
      <c r="W36" s="27">
        <v>98</v>
      </c>
      <c r="X36" s="29">
        <f t="shared" si="10"/>
        <v>200</v>
      </c>
      <c r="Y36" s="27" t="s">
        <v>102</v>
      </c>
      <c r="Z36" s="27" t="s">
        <v>316</v>
      </c>
      <c r="AA36" s="29">
        <f t="shared" si="3"/>
        <v>4</v>
      </c>
      <c r="AB36" s="29">
        <f t="shared" si="4"/>
        <v>8</v>
      </c>
      <c r="AC36" s="29" t="str">
        <f t="shared" si="5"/>
        <v/>
      </c>
      <c r="AD36" s="29" t="str">
        <f t="shared" si="6"/>
        <v/>
      </c>
      <c r="AE36" s="29" t="str">
        <f t="shared" si="7"/>
        <v/>
      </c>
      <c r="AF36" s="29" t="str">
        <f t="shared" si="8"/>
        <v/>
      </c>
      <c r="AG36" s="27">
        <v>12</v>
      </c>
      <c r="AH36" s="27">
        <v>0</v>
      </c>
      <c r="AI36" s="27">
        <v>0</v>
      </c>
      <c r="AJ36" s="23" t="s">
        <v>401</v>
      </c>
      <c r="AK36" s="23" t="s">
        <v>402</v>
      </c>
      <c r="AN36" s="31" t="str">
        <f t="shared" si="12"/>
        <v>3 doors</v>
      </c>
      <c r="AO36" s="23" t="s">
        <v>314</v>
      </c>
      <c r="AP36" s="23" t="s">
        <v>71</v>
      </c>
      <c r="AQ36" s="23" t="s">
        <v>78</v>
      </c>
      <c r="AR36" s="34">
        <f t="shared" si="31"/>
        <v>2155.0100000000002</v>
      </c>
      <c r="AS36" s="23">
        <v>21</v>
      </c>
      <c r="AT36" s="23">
        <v>55</v>
      </c>
      <c r="AU36" s="23">
        <v>1</v>
      </c>
    </row>
    <row r="37" spans="1:47">
      <c r="A37" s="23" t="s">
        <v>317</v>
      </c>
      <c r="B37" s="23" t="s">
        <v>372</v>
      </c>
      <c r="C37" s="23">
        <v>3</v>
      </c>
      <c r="E37" s="23" t="s">
        <v>60</v>
      </c>
      <c r="F37" s="23" t="s">
        <v>410</v>
      </c>
      <c r="G37" s="27">
        <v>1985</v>
      </c>
      <c r="H37" s="27">
        <v>20</v>
      </c>
      <c r="I37" s="27">
        <v>25</v>
      </c>
      <c r="J37" s="27">
        <v>20</v>
      </c>
      <c r="K37" s="27">
        <v>10</v>
      </c>
      <c r="L37" s="27">
        <v>10</v>
      </c>
      <c r="M37" s="27">
        <v>10</v>
      </c>
      <c r="P37" s="28">
        <f t="shared" si="0"/>
        <v>30</v>
      </c>
      <c r="Q37" s="28">
        <f>IF(OR(E37="diesel", E37="petrol"), ((V37+(T37/10))/2)+(P37/14), IF(OR(E37="cng", E37="hybrid"), ((V37+(T37/10))/2*1.2)+(P37/14), IF(OR(E37="hydrogen", E37="electric"), ((V37+(T37/10))/2*1.5)+(P37/14), 0)))</f>
        <v>17.658857142857144</v>
      </c>
      <c r="R37" s="28">
        <f t="shared" si="2"/>
        <v>25.728190476190477</v>
      </c>
      <c r="S37" s="27">
        <v>70</v>
      </c>
      <c r="T37" s="29">
        <f t="shared" si="11"/>
        <v>220.32000000000002</v>
      </c>
      <c r="U37" s="27">
        <v>162</v>
      </c>
      <c r="V37" s="27">
        <v>9</v>
      </c>
      <c r="W37" s="27">
        <v>98</v>
      </c>
      <c r="X37" s="29">
        <f t="shared" si="10"/>
        <v>200</v>
      </c>
      <c r="Y37" s="27" t="s">
        <v>287</v>
      </c>
      <c r="Z37" s="27" t="s">
        <v>287</v>
      </c>
      <c r="AA37" s="29">
        <f t="shared" si="3"/>
        <v>4</v>
      </c>
      <c r="AB37" s="29">
        <f t="shared" si="4"/>
        <v>8</v>
      </c>
      <c r="AC37" s="29" t="str">
        <f t="shared" si="5"/>
        <v/>
      </c>
      <c r="AD37" s="29" t="str">
        <f t="shared" si="6"/>
        <v/>
      </c>
      <c r="AE37" s="29" t="str">
        <f t="shared" si="7"/>
        <v/>
      </c>
      <c r="AF37" s="29" t="str">
        <f t="shared" si="8"/>
        <v/>
      </c>
      <c r="AG37" s="27">
        <v>12</v>
      </c>
      <c r="AH37" s="27">
        <v>0</v>
      </c>
      <c r="AI37" s="27">
        <v>0</v>
      </c>
      <c r="AJ37" s="23" t="s">
        <v>401</v>
      </c>
      <c r="AK37" s="23" t="s">
        <v>402</v>
      </c>
      <c r="AN37" s="31" t="str">
        <f t="shared" si="12"/>
        <v>3 doors</v>
      </c>
      <c r="AO37" s="23" t="s">
        <v>314</v>
      </c>
      <c r="AP37" s="23" t="s">
        <v>71</v>
      </c>
      <c r="AQ37" s="23" t="s">
        <v>191</v>
      </c>
      <c r="AR37" s="34">
        <f t="shared" si="31"/>
        <v>2155.02</v>
      </c>
      <c r="AS37" s="23">
        <v>21</v>
      </c>
      <c r="AT37" s="23">
        <v>55</v>
      </c>
      <c r="AU37" s="23">
        <v>2</v>
      </c>
    </row>
    <row r="38" spans="1:47">
      <c r="A38" s="23" t="s">
        <v>415</v>
      </c>
      <c r="B38" s="23" t="s">
        <v>372</v>
      </c>
      <c r="C38" s="23">
        <v>3</v>
      </c>
      <c r="E38" s="23" t="s">
        <v>61</v>
      </c>
      <c r="F38" s="23" t="s">
        <v>412</v>
      </c>
      <c r="G38" s="27">
        <v>1999</v>
      </c>
      <c r="H38" s="27">
        <v>20</v>
      </c>
      <c r="I38" s="27">
        <v>25</v>
      </c>
      <c r="J38" s="27">
        <v>20</v>
      </c>
      <c r="K38" s="27">
        <v>10</v>
      </c>
      <c r="L38" s="27">
        <v>10</v>
      </c>
      <c r="M38" s="27">
        <v>10</v>
      </c>
      <c r="P38" s="28">
        <f t="shared" si="0"/>
        <v>30</v>
      </c>
      <c r="Q38" s="28">
        <f t="shared" si="1"/>
        <v>23.046857142857142</v>
      </c>
      <c r="R38" s="28">
        <f t="shared" si="2"/>
        <v>24.041523809523813</v>
      </c>
      <c r="S38" s="27">
        <v>75</v>
      </c>
      <c r="T38" s="29">
        <f t="shared" si="11"/>
        <v>258.40000000000003</v>
      </c>
      <c r="U38" s="27">
        <v>190</v>
      </c>
      <c r="V38" s="27">
        <v>9</v>
      </c>
      <c r="W38" s="27">
        <v>95</v>
      </c>
      <c r="X38" s="29">
        <f t="shared" si="10"/>
        <v>200</v>
      </c>
      <c r="Y38" s="27" t="s">
        <v>69</v>
      </c>
      <c r="Z38" s="27" t="s">
        <v>315</v>
      </c>
      <c r="AA38" s="29">
        <f t="shared" si="3"/>
        <v>4</v>
      </c>
      <c r="AB38" s="29">
        <f t="shared" si="4"/>
        <v>8</v>
      </c>
      <c r="AC38" s="29" t="str">
        <f t="shared" si="5"/>
        <v/>
      </c>
      <c r="AD38" s="29" t="str">
        <f t="shared" si="6"/>
        <v/>
      </c>
      <c r="AE38" s="29" t="str">
        <f t="shared" si="7"/>
        <v/>
      </c>
      <c r="AF38" s="29" t="str">
        <f t="shared" si="8"/>
        <v/>
      </c>
      <c r="AG38" s="27">
        <v>12</v>
      </c>
      <c r="AH38" s="27">
        <v>0</v>
      </c>
      <c r="AI38" s="27">
        <v>0</v>
      </c>
      <c r="AJ38" s="23" t="s">
        <v>401</v>
      </c>
      <c r="AK38" s="23" t="s">
        <v>402</v>
      </c>
      <c r="AN38" s="31" t="str">
        <f t="shared" si="12"/>
        <v>3 doors</v>
      </c>
      <c r="AO38" s="23" t="s">
        <v>314</v>
      </c>
      <c r="AP38" s="23" t="s">
        <v>71</v>
      </c>
      <c r="AQ38" s="23" t="s">
        <v>78</v>
      </c>
      <c r="AR38" s="34">
        <f t="shared" si="31"/>
        <v>2156</v>
      </c>
      <c r="AS38" s="23">
        <v>21</v>
      </c>
      <c r="AT38" s="23">
        <v>56</v>
      </c>
      <c r="AU38" s="23">
        <v>0</v>
      </c>
    </row>
    <row r="39" spans="1:47">
      <c r="A39" s="23" t="s">
        <v>415</v>
      </c>
      <c r="B39" s="23" t="s">
        <v>372</v>
      </c>
      <c r="C39" s="23">
        <v>3</v>
      </c>
      <c r="E39" s="23" t="s">
        <v>61</v>
      </c>
      <c r="F39" s="23" t="s">
        <v>412</v>
      </c>
      <c r="G39" s="27">
        <v>1999</v>
      </c>
      <c r="H39" s="27">
        <v>20</v>
      </c>
      <c r="I39" s="27">
        <v>25</v>
      </c>
      <c r="J39" s="27">
        <v>20</v>
      </c>
      <c r="K39" s="27">
        <v>10</v>
      </c>
      <c r="L39" s="27">
        <v>10</v>
      </c>
      <c r="M39" s="27">
        <v>10</v>
      </c>
      <c r="P39" s="28">
        <f t="shared" si="0"/>
        <v>30</v>
      </c>
      <c r="Q39" s="28">
        <f t="shared" si="1"/>
        <v>23.046857142857142</v>
      </c>
      <c r="R39" s="28">
        <f t="shared" si="2"/>
        <v>24.041523809523813</v>
      </c>
      <c r="S39" s="27">
        <v>75</v>
      </c>
      <c r="T39" s="29">
        <f t="shared" si="11"/>
        <v>258.40000000000003</v>
      </c>
      <c r="U39" s="27">
        <v>190</v>
      </c>
      <c r="V39" s="27">
        <v>9</v>
      </c>
      <c r="W39" s="27">
        <v>95</v>
      </c>
      <c r="X39" s="29">
        <f t="shared" si="10"/>
        <v>200</v>
      </c>
      <c r="Y39" s="27" t="s">
        <v>102</v>
      </c>
      <c r="Z39" s="27" t="s">
        <v>316</v>
      </c>
      <c r="AA39" s="29">
        <f t="shared" si="3"/>
        <v>4</v>
      </c>
      <c r="AB39" s="29">
        <f t="shared" si="4"/>
        <v>8</v>
      </c>
      <c r="AC39" s="29" t="str">
        <f t="shared" si="5"/>
        <v/>
      </c>
      <c r="AD39" s="29" t="str">
        <f t="shared" si="6"/>
        <v/>
      </c>
      <c r="AE39" s="29" t="str">
        <f t="shared" si="7"/>
        <v/>
      </c>
      <c r="AF39" s="29" t="str">
        <f t="shared" si="8"/>
        <v/>
      </c>
      <c r="AG39" s="27">
        <v>12</v>
      </c>
      <c r="AH39" s="27">
        <v>0</v>
      </c>
      <c r="AI39" s="27">
        <v>0</v>
      </c>
      <c r="AJ39" s="23" t="s">
        <v>401</v>
      </c>
      <c r="AK39" s="23" t="s">
        <v>402</v>
      </c>
      <c r="AN39" s="31" t="str">
        <f t="shared" si="12"/>
        <v>3 doors</v>
      </c>
      <c r="AO39" s="23" t="s">
        <v>314</v>
      </c>
      <c r="AP39" s="23" t="s">
        <v>71</v>
      </c>
      <c r="AQ39" s="23" t="s">
        <v>78</v>
      </c>
      <c r="AR39" s="34">
        <f t="shared" si="31"/>
        <v>2156.0100000000002</v>
      </c>
      <c r="AS39" s="23">
        <v>21</v>
      </c>
      <c r="AT39" s="23">
        <v>56</v>
      </c>
      <c r="AU39" s="23">
        <v>1</v>
      </c>
    </row>
    <row r="40" spans="1:47">
      <c r="A40" s="23" t="s">
        <v>415</v>
      </c>
      <c r="B40" s="23" t="s">
        <v>372</v>
      </c>
      <c r="C40" s="23">
        <v>3</v>
      </c>
      <c r="E40" s="23" t="s">
        <v>61</v>
      </c>
      <c r="F40" s="23" t="s">
        <v>412</v>
      </c>
      <c r="G40" s="27">
        <v>1999</v>
      </c>
      <c r="H40" s="27">
        <v>20</v>
      </c>
      <c r="I40" s="27">
        <v>25</v>
      </c>
      <c r="J40" s="27">
        <v>20</v>
      </c>
      <c r="K40" s="27">
        <v>10</v>
      </c>
      <c r="L40" s="27">
        <v>10</v>
      </c>
      <c r="M40" s="27">
        <v>10</v>
      </c>
      <c r="P40" s="28">
        <f t="shared" si="0"/>
        <v>30</v>
      </c>
      <c r="Q40" s="28">
        <f t="shared" si="1"/>
        <v>23.046857142857142</v>
      </c>
      <c r="R40" s="28">
        <f t="shared" si="2"/>
        <v>24.041523809523813</v>
      </c>
      <c r="S40" s="27">
        <v>75</v>
      </c>
      <c r="T40" s="29">
        <f t="shared" si="11"/>
        <v>258.40000000000003</v>
      </c>
      <c r="U40" s="27">
        <v>190</v>
      </c>
      <c r="V40" s="27">
        <v>9</v>
      </c>
      <c r="W40" s="27">
        <v>95</v>
      </c>
      <c r="X40" s="29">
        <f t="shared" si="10"/>
        <v>200</v>
      </c>
      <c r="Y40" s="27" t="s">
        <v>392</v>
      </c>
      <c r="Z40" s="27" t="s">
        <v>392</v>
      </c>
      <c r="AA40" s="29">
        <f t="shared" si="3"/>
        <v>4</v>
      </c>
      <c r="AB40" s="29">
        <f t="shared" si="4"/>
        <v>8</v>
      </c>
      <c r="AC40" s="29" t="str">
        <f t="shared" si="5"/>
        <v/>
      </c>
      <c r="AD40" s="29" t="str">
        <f t="shared" si="6"/>
        <v/>
      </c>
      <c r="AE40" s="29" t="str">
        <f t="shared" si="7"/>
        <v/>
      </c>
      <c r="AF40" s="29" t="str">
        <f t="shared" si="8"/>
        <v/>
      </c>
      <c r="AG40" s="27">
        <v>12</v>
      </c>
      <c r="AH40" s="27">
        <v>0</v>
      </c>
      <c r="AI40" s="27">
        <v>0</v>
      </c>
      <c r="AJ40" s="23" t="s">
        <v>401</v>
      </c>
      <c r="AK40" s="23" t="s">
        <v>402</v>
      </c>
      <c r="AN40" s="31" t="str">
        <f t="shared" si="12"/>
        <v>3 doors</v>
      </c>
      <c r="AO40" s="23" t="s">
        <v>314</v>
      </c>
      <c r="AP40" s="23" t="s">
        <v>71</v>
      </c>
      <c r="AQ40" s="23" t="s">
        <v>191</v>
      </c>
      <c r="AR40" s="34">
        <f t="shared" si="31"/>
        <v>2156.02</v>
      </c>
      <c r="AS40" s="23">
        <v>21</v>
      </c>
      <c r="AT40" s="23">
        <v>56</v>
      </c>
      <c r="AU40" s="23">
        <v>2</v>
      </c>
    </row>
    <row r="41" spans="1:47">
      <c r="A41" s="23" t="s">
        <v>416</v>
      </c>
      <c r="B41" s="23" t="s">
        <v>372</v>
      </c>
      <c r="C41" s="23">
        <v>3</v>
      </c>
      <c r="E41" s="23" t="s">
        <v>60</v>
      </c>
      <c r="F41" s="23" t="s">
        <v>417</v>
      </c>
      <c r="G41" s="27">
        <v>1990</v>
      </c>
      <c r="H41" s="27">
        <v>20</v>
      </c>
      <c r="I41" s="27">
        <v>25</v>
      </c>
      <c r="J41" s="27">
        <v>20</v>
      </c>
      <c r="K41" s="27">
        <v>10</v>
      </c>
      <c r="L41" s="27">
        <v>10</v>
      </c>
      <c r="M41" s="27">
        <v>10</v>
      </c>
      <c r="P41" s="28">
        <f t="shared" si="0"/>
        <v>30</v>
      </c>
      <c r="Q41" s="28">
        <f t="shared" si="1"/>
        <v>17.522857142857145</v>
      </c>
      <c r="R41" s="28">
        <f t="shared" si="2"/>
        <v>25.502857142857145</v>
      </c>
      <c r="S41" s="27">
        <v>70</v>
      </c>
      <c r="T41" s="29">
        <f t="shared" ref="T41:T68" si="32">U41*1.36</f>
        <v>217.60000000000002</v>
      </c>
      <c r="U41" s="27">
        <v>160</v>
      </c>
      <c r="V41" s="27">
        <v>9</v>
      </c>
      <c r="W41" s="27">
        <v>105</v>
      </c>
      <c r="X41" s="29">
        <f t="shared" si="10"/>
        <v>200</v>
      </c>
      <c r="Y41" s="27" t="s">
        <v>69</v>
      </c>
      <c r="Z41" s="27" t="s">
        <v>315</v>
      </c>
      <c r="AA41" s="29">
        <f t="shared" si="3"/>
        <v>4</v>
      </c>
      <c r="AB41" s="29">
        <f t="shared" si="4"/>
        <v>8</v>
      </c>
      <c r="AC41" s="29" t="str">
        <f t="shared" si="5"/>
        <v/>
      </c>
      <c r="AD41" s="29" t="str">
        <f t="shared" si="6"/>
        <v/>
      </c>
      <c r="AE41" s="29" t="str">
        <f t="shared" si="7"/>
        <v/>
      </c>
      <c r="AF41" s="29" t="str">
        <f t="shared" si="8"/>
        <v/>
      </c>
      <c r="AG41" s="27">
        <v>12</v>
      </c>
      <c r="AH41" s="27">
        <v>0</v>
      </c>
      <c r="AI41" s="27">
        <v>0</v>
      </c>
      <c r="AJ41" s="23" t="s">
        <v>401</v>
      </c>
      <c r="AK41" s="23" t="s">
        <v>416</v>
      </c>
      <c r="AN41" s="31" t="str">
        <f t="shared" si="12"/>
        <v>3 doors</v>
      </c>
      <c r="AO41" s="23" t="s">
        <v>66</v>
      </c>
      <c r="AP41" s="23" t="s">
        <v>71</v>
      </c>
      <c r="AQ41" s="23" t="s">
        <v>78</v>
      </c>
      <c r="AR41" s="34">
        <f t="shared" si="31"/>
        <v>2160</v>
      </c>
      <c r="AS41" s="23">
        <v>21</v>
      </c>
      <c r="AT41" s="23">
        <v>60</v>
      </c>
      <c r="AU41" s="23">
        <v>0</v>
      </c>
    </row>
    <row r="42" spans="1:47">
      <c r="A42" s="23" t="s">
        <v>416</v>
      </c>
      <c r="B42" s="23" t="s">
        <v>372</v>
      </c>
      <c r="C42" s="23">
        <v>3</v>
      </c>
      <c r="E42" s="23" t="s">
        <v>60</v>
      </c>
      <c r="F42" s="23" t="s">
        <v>417</v>
      </c>
      <c r="G42" s="27">
        <v>1990</v>
      </c>
      <c r="H42" s="27">
        <v>20</v>
      </c>
      <c r="I42" s="27">
        <v>25</v>
      </c>
      <c r="J42" s="27">
        <v>20</v>
      </c>
      <c r="K42" s="27">
        <v>10</v>
      </c>
      <c r="L42" s="27">
        <v>10</v>
      </c>
      <c r="M42" s="27">
        <v>10</v>
      </c>
      <c r="P42" s="28">
        <f t="shared" si="0"/>
        <v>30</v>
      </c>
      <c r="Q42" s="28">
        <f t="shared" si="1"/>
        <v>17.522857142857145</v>
      </c>
      <c r="R42" s="28">
        <f t="shared" si="2"/>
        <v>25.502857142857145</v>
      </c>
      <c r="S42" s="27">
        <v>70</v>
      </c>
      <c r="T42" s="29">
        <f t="shared" si="32"/>
        <v>217.60000000000002</v>
      </c>
      <c r="U42" s="27">
        <v>160</v>
      </c>
      <c r="V42" s="27">
        <v>9</v>
      </c>
      <c r="W42" s="27">
        <v>105</v>
      </c>
      <c r="X42" s="29">
        <f t="shared" si="10"/>
        <v>200</v>
      </c>
      <c r="Y42" s="27" t="s">
        <v>102</v>
      </c>
      <c r="Z42" s="27" t="s">
        <v>316</v>
      </c>
      <c r="AA42" s="29">
        <f t="shared" si="3"/>
        <v>4</v>
      </c>
      <c r="AB42" s="29">
        <f t="shared" si="4"/>
        <v>8</v>
      </c>
      <c r="AC42" s="29" t="str">
        <f t="shared" si="5"/>
        <v/>
      </c>
      <c r="AD42" s="29" t="str">
        <f t="shared" si="6"/>
        <v/>
      </c>
      <c r="AE42" s="29" t="str">
        <f t="shared" si="7"/>
        <v/>
      </c>
      <c r="AF42" s="29" t="str">
        <f t="shared" si="8"/>
        <v/>
      </c>
      <c r="AG42" s="27">
        <v>12</v>
      </c>
      <c r="AH42" s="27">
        <v>0</v>
      </c>
      <c r="AI42" s="27">
        <v>0</v>
      </c>
      <c r="AJ42" s="23" t="s">
        <v>401</v>
      </c>
      <c r="AK42" s="23" t="s">
        <v>416</v>
      </c>
      <c r="AN42" s="31" t="str">
        <f t="shared" si="12"/>
        <v>3 doors</v>
      </c>
      <c r="AO42" s="23" t="s">
        <v>66</v>
      </c>
      <c r="AP42" s="23" t="s">
        <v>71</v>
      </c>
      <c r="AQ42" s="23" t="s">
        <v>78</v>
      </c>
      <c r="AR42" s="34">
        <f t="shared" si="31"/>
        <v>2160.0100000000002</v>
      </c>
      <c r="AS42" s="23">
        <v>21</v>
      </c>
      <c r="AT42" s="23">
        <v>60</v>
      </c>
      <c r="AU42" s="23">
        <v>1</v>
      </c>
    </row>
    <row r="43" spans="1:47">
      <c r="A43" s="23" t="s">
        <v>416</v>
      </c>
      <c r="B43" s="23" t="s">
        <v>372</v>
      </c>
      <c r="C43" s="23">
        <v>3</v>
      </c>
      <c r="E43" s="23" t="s">
        <v>60</v>
      </c>
      <c r="F43" s="23" t="s">
        <v>417</v>
      </c>
      <c r="G43" s="27">
        <v>1990</v>
      </c>
      <c r="H43" s="27">
        <v>20</v>
      </c>
      <c r="I43" s="27">
        <v>25</v>
      </c>
      <c r="J43" s="27">
        <v>20</v>
      </c>
      <c r="K43" s="27">
        <v>10</v>
      </c>
      <c r="L43" s="27">
        <v>10</v>
      </c>
      <c r="M43" s="27">
        <v>10</v>
      </c>
      <c r="P43" s="28">
        <f t="shared" si="0"/>
        <v>30</v>
      </c>
      <c r="Q43" s="28">
        <f t="shared" si="1"/>
        <v>17.522857142857145</v>
      </c>
      <c r="R43" s="28">
        <f t="shared" si="2"/>
        <v>25.502857142857145</v>
      </c>
      <c r="S43" s="27">
        <v>70</v>
      </c>
      <c r="T43" s="29">
        <f t="shared" si="32"/>
        <v>217.60000000000002</v>
      </c>
      <c r="U43" s="27">
        <v>160</v>
      </c>
      <c r="V43" s="27">
        <v>9</v>
      </c>
      <c r="W43" s="27">
        <v>105</v>
      </c>
      <c r="X43" s="29">
        <f t="shared" si="10"/>
        <v>200</v>
      </c>
      <c r="Y43" s="27" t="s">
        <v>287</v>
      </c>
      <c r="Z43" s="27" t="s">
        <v>287</v>
      </c>
      <c r="AA43" s="29">
        <f t="shared" si="3"/>
        <v>4</v>
      </c>
      <c r="AB43" s="29">
        <f t="shared" si="4"/>
        <v>8</v>
      </c>
      <c r="AC43" s="29" t="str">
        <f t="shared" si="5"/>
        <v/>
      </c>
      <c r="AD43" s="29" t="str">
        <f t="shared" si="6"/>
        <v/>
      </c>
      <c r="AE43" s="29" t="str">
        <f t="shared" si="7"/>
        <v/>
      </c>
      <c r="AF43" s="29" t="str">
        <f t="shared" si="8"/>
        <v/>
      </c>
      <c r="AG43" s="27">
        <v>12</v>
      </c>
      <c r="AH43" s="27">
        <v>0</v>
      </c>
      <c r="AI43" s="27">
        <v>0</v>
      </c>
      <c r="AJ43" s="23" t="s">
        <v>401</v>
      </c>
      <c r="AK43" s="23" t="s">
        <v>416</v>
      </c>
      <c r="AN43" s="31" t="str">
        <f t="shared" si="12"/>
        <v>3 doors</v>
      </c>
      <c r="AO43" s="23" t="s">
        <v>66</v>
      </c>
      <c r="AP43" s="23" t="s">
        <v>71</v>
      </c>
      <c r="AQ43" s="23" t="s">
        <v>191</v>
      </c>
      <c r="AR43" s="34">
        <f t="shared" si="31"/>
        <v>2160.02</v>
      </c>
      <c r="AS43" s="23">
        <v>21</v>
      </c>
      <c r="AT43" s="23">
        <v>60</v>
      </c>
      <c r="AU43" s="23">
        <v>2</v>
      </c>
    </row>
    <row r="44" spans="1:47">
      <c r="A44" s="23" t="s">
        <v>416</v>
      </c>
      <c r="B44" s="23" t="s">
        <v>405</v>
      </c>
      <c r="C44" s="23">
        <v>3</v>
      </c>
      <c r="E44" s="23" t="s">
        <v>60</v>
      </c>
      <c r="F44" s="23" t="s">
        <v>418</v>
      </c>
      <c r="G44" s="27">
        <v>1989</v>
      </c>
      <c r="H44" s="27">
        <v>20</v>
      </c>
      <c r="I44" s="27">
        <v>25</v>
      </c>
      <c r="J44" s="27">
        <v>20</v>
      </c>
      <c r="K44" s="27">
        <v>10</v>
      </c>
      <c r="L44" s="27">
        <v>10</v>
      </c>
      <c r="P44" s="28">
        <f t="shared" si="0"/>
        <v>20</v>
      </c>
      <c r="Q44" s="28">
        <f t="shared" si="1"/>
        <v>16.80857142857143</v>
      </c>
      <c r="R44" s="28">
        <f t="shared" si="2"/>
        <v>24.78857142857143</v>
      </c>
      <c r="S44" s="27">
        <v>70</v>
      </c>
      <c r="T44" s="29">
        <f t="shared" si="32"/>
        <v>217.60000000000002</v>
      </c>
      <c r="U44" s="27">
        <v>160</v>
      </c>
      <c r="V44" s="27">
        <v>9</v>
      </c>
      <c r="W44" s="27">
        <v>105</v>
      </c>
      <c r="X44" s="29">
        <f t="shared" si="10"/>
        <v>200</v>
      </c>
      <c r="Y44" s="27" t="s">
        <v>69</v>
      </c>
      <c r="Z44" s="27" t="s">
        <v>315</v>
      </c>
      <c r="AA44" s="29">
        <f t="shared" si="3"/>
        <v>4</v>
      </c>
      <c r="AB44" s="29">
        <f t="shared" si="4"/>
        <v>8</v>
      </c>
      <c r="AC44" s="29" t="str">
        <f t="shared" si="5"/>
        <v/>
      </c>
      <c r="AD44" s="29" t="str">
        <f t="shared" si="6"/>
        <v/>
      </c>
      <c r="AE44" s="29" t="str">
        <f t="shared" si="7"/>
        <v/>
      </c>
      <c r="AF44" s="29" t="str">
        <f t="shared" si="8"/>
        <v/>
      </c>
      <c r="AG44" s="27">
        <v>12</v>
      </c>
      <c r="AH44" s="27">
        <v>0</v>
      </c>
      <c r="AI44" s="27">
        <v>0</v>
      </c>
      <c r="AJ44" s="23" t="s">
        <v>401</v>
      </c>
      <c r="AK44" s="23" t="s">
        <v>416</v>
      </c>
      <c r="AN44" s="31" t="str">
        <f t="shared" si="12"/>
        <v>2 doors</v>
      </c>
      <c r="AO44" s="23" t="s">
        <v>66</v>
      </c>
      <c r="AP44" s="23" t="s">
        <v>72</v>
      </c>
      <c r="AQ44" s="23" t="s">
        <v>78</v>
      </c>
      <c r="AR44" s="34">
        <f t="shared" si="31"/>
        <v>2161</v>
      </c>
      <c r="AS44" s="23">
        <v>21</v>
      </c>
      <c r="AT44" s="23">
        <v>61</v>
      </c>
      <c r="AU44" s="23">
        <v>0</v>
      </c>
    </row>
    <row r="45" spans="1:47">
      <c r="A45" s="23" t="s">
        <v>416</v>
      </c>
      <c r="B45" s="23" t="s">
        <v>405</v>
      </c>
      <c r="C45" s="23">
        <v>3</v>
      </c>
      <c r="E45" s="23" t="s">
        <v>60</v>
      </c>
      <c r="F45" s="23" t="s">
        <v>418</v>
      </c>
      <c r="G45" s="27">
        <v>1989</v>
      </c>
      <c r="H45" s="27">
        <v>20</v>
      </c>
      <c r="I45" s="27">
        <v>25</v>
      </c>
      <c r="J45" s="27">
        <v>20</v>
      </c>
      <c r="K45" s="27">
        <v>10</v>
      </c>
      <c r="L45" s="27">
        <v>10</v>
      </c>
      <c r="P45" s="28">
        <f t="shared" si="0"/>
        <v>20</v>
      </c>
      <c r="Q45" s="28">
        <f t="shared" si="1"/>
        <v>16.80857142857143</v>
      </c>
      <c r="R45" s="28">
        <f t="shared" si="2"/>
        <v>24.78857142857143</v>
      </c>
      <c r="S45" s="27">
        <v>70</v>
      </c>
      <c r="T45" s="29">
        <f t="shared" si="32"/>
        <v>217.60000000000002</v>
      </c>
      <c r="U45" s="27">
        <v>160</v>
      </c>
      <c r="V45" s="27">
        <v>9</v>
      </c>
      <c r="W45" s="27">
        <v>105</v>
      </c>
      <c r="X45" s="29">
        <f t="shared" si="10"/>
        <v>200</v>
      </c>
      <c r="Y45" s="27" t="s">
        <v>102</v>
      </c>
      <c r="Z45" s="27" t="s">
        <v>316</v>
      </c>
      <c r="AA45" s="29">
        <f t="shared" si="3"/>
        <v>4</v>
      </c>
      <c r="AB45" s="29">
        <f t="shared" si="4"/>
        <v>8</v>
      </c>
      <c r="AC45" s="29" t="str">
        <f t="shared" si="5"/>
        <v/>
      </c>
      <c r="AD45" s="29" t="str">
        <f t="shared" si="6"/>
        <v/>
      </c>
      <c r="AE45" s="29" t="str">
        <f t="shared" si="7"/>
        <v/>
      </c>
      <c r="AF45" s="29" t="str">
        <f t="shared" si="8"/>
        <v/>
      </c>
      <c r="AG45" s="27">
        <v>12</v>
      </c>
      <c r="AH45" s="27">
        <v>0</v>
      </c>
      <c r="AI45" s="27">
        <v>0</v>
      </c>
      <c r="AJ45" s="23" t="s">
        <v>401</v>
      </c>
      <c r="AK45" s="23" t="s">
        <v>416</v>
      </c>
      <c r="AN45" s="31" t="str">
        <f t="shared" si="12"/>
        <v>2 doors</v>
      </c>
      <c r="AO45" s="23" t="s">
        <v>66</v>
      </c>
      <c r="AP45" s="23" t="s">
        <v>72</v>
      </c>
      <c r="AQ45" s="23" t="s">
        <v>78</v>
      </c>
      <c r="AR45" s="34">
        <f t="shared" si="31"/>
        <v>2161.0100000000002</v>
      </c>
      <c r="AS45" s="23">
        <v>21</v>
      </c>
      <c r="AT45" s="23">
        <v>61</v>
      </c>
      <c r="AU45" s="23">
        <v>1</v>
      </c>
    </row>
    <row r="46" spans="1:47">
      <c r="A46" s="23" t="s">
        <v>425</v>
      </c>
      <c r="B46" s="23" t="s">
        <v>404</v>
      </c>
      <c r="C46" s="23">
        <v>2</v>
      </c>
      <c r="E46" s="23" t="s">
        <v>60</v>
      </c>
      <c r="F46" s="23" t="s">
        <v>426</v>
      </c>
      <c r="G46" s="27">
        <v>1971</v>
      </c>
      <c r="H46" s="27">
        <v>20</v>
      </c>
      <c r="I46" s="27">
        <v>25</v>
      </c>
      <c r="J46" s="27">
        <v>20</v>
      </c>
      <c r="K46" s="27">
        <v>5</v>
      </c>
      <c r="L46" s="27">
        <v>10</v>
      </c>
      <c r="P46" s="28">
        <f t="shared" ref="P46:P47" si="33">SUM(K46:O46)</f>
        <v>15</v>
      </c>
      <c r="Q46" s="28">
        <f t="shared" ref="Q46:Q47" si="34">IF(OR(E46="diesel", E46="petrol"), ((V46+(T46/10))/2)+(P46/14), IF(OR(E46="cng", E46="hybrid"), ((V46+(T46/10))/2*1.2)+(P46/14), IF(OR(E46="hydrogen", E46="electric"), ((V46+(T46/10))/2*1.5)+(P46/14), 0)))</f>
        <v>16.587428571428575</v>
      </c>
      <c r="R46" s="28">
        <f t="shared" ref="R46:R47" si="35">IF(E46="petrol", ((V46+(W46/15)+T46)/10*1.5)+(P46/14), IF(E46="diesel", ((V46+(W46/15)+T46)/10)+(P46/14), IF(OR(E46="cng", E46="hybrid"), ((V46+(W46/15)+T46)/10*0.8)+(P46/14), IF(OR(E46="hydrogen", E46="electric"), ((V46+(W46/15)+T46)/10*0.5)+(P46/14), 0))))</f>
        <v>24.543428571428574</v>
      </c>
      <c r="S46" s="27">
        <v>80</v>
      </c>
      <c r="T46" s="29">
        <f t="shared" si="32"/>
        <v>220.32000000000002</v>
      </c>
      <c r="U46" s="27">
        <v>162</v>
      </c>
      <c r="V46" s="27">
        <v>9</v>
      </c>
      <c r="W46" s="27">
        <v>81</v>
      </c>
      <c r="X46" s="29">
        <f t="shared" si="10"/>
        <v>185</v>
      </c>
      <c r="Y46" s="27" t="s">
        <v>69</v>
      </c>
      <c r="Z46" s="27" t="s">
        <v>315</v>
      </c>
      <c r="AA46" s="29">
        <f t="shared" ref="AA46:AA48" si="36">IF(AG46&gt;8, AG46-8, AG46)</f>
        <v>3</v>
      </c>
      <c r="AB46" s="29">
        <f t="shared" ref="AB46:AB48" si="37">IF(AG46&gt;8, 8, "")</f>
        <v>8</v>
      </c>
      <c r="AC46" s="29" t="str">
        <f t="shared" ref="AC46:AC48" si="38">IF(AH46&gt;8, AH46-8, IF(AH46=0, "", AH46))</f>
        <v/>
      </c>
      <c r="AD46" s="29" t="str">
        <f t="shared" ref="AD46:AD48" si="39">IF(AH46&gt;8, 8, "")</f>
        <v/>
      </c>
      <c r="AE46" s="29" t="str">
        <f t="shared" ref="AE46:AE48" si="40">IF(AI46&gt;8, AI46-8, IF(AI46=0, "", AI46))</f>
        <v/>
      </c>
      <c r="AF46" s="29" t="str">
        <f t="shared" ref="AF46:AF48" si="41">IF(AI46&gt;8, 8, "")</f>
        <v/>
      </c>
      <c r="AG46" s="27">
        <v>11</v>
      </c>
      <c r="AH46" s="27">
        <v>0</v>
      </c>
      <c r="AI46" s="27">
        <v>0</v>
      </c>
      <c r="AJ46" s="23" t="s">
        <v>401</v>
      </c>
      <c r="AK46" s="23" t="s">
        <v>425</v>
      </c>
      <c r="AN46" s="31" t="str">
        <f t="shared" si="12"/>
        <v>2 doors</v>
      </c>
      <c r="AO46" s="23" t="s">
        <v>314</v>
      </c>
      <c r="AP46" s="23" t="s">
        <v>89</v>
      </c>
      <c r="AQ46" s="23" t="s">
        <v>78</v>
      </c>
      <c r="AR46" s="34">
        <f t="shared" si="31"/>
        <v>2162</v>
      </c>
      <c r="AS46" s="23">
        <v>21</v>
      </c>
      <c r="AT46" s="23">
        <v>62</v>
      </c>
      <c r="AU46" s="23">
        <v>0</v>
      </c>
    </row>
    <row r="47" spans="1:47">
      <c r="A47" s="23" t="s">
        <v>425</v>
      </c>
      <c r="B47" s="23" t="s">
        <v>404</v>
      </c>
      <c r="C47" s="23">
        <v>2</v>
      </c>
      <c r="E47" s="23" t="s">
        <v>60</v>
      </c>
      <c r="F47" s="23" t="s">
        <v>426</v>
      </c>
      <c r="G47" s="27">
        <v>1971</v>
      </c>
      <c r="H47" s="27">
        <v>20</v>
      </c>
      <c r="I47" s="27">
        <v>25</v>
      </c>
      <c r="J47" s="27">
        <v>20</v>
      </c>
      <c r="K47" s="27">
        <v>5</v>
      </c>
      <c r="L47" s="27">
        <v>10</v>
      </c>
      <c r="P47" s="28">
        <f t="shared" si="33"/>
        <v>15</v>
      </c>
      <c r="Q47" s="28">
        <f t="shared" si="34"/>
        <v>16.587428571428575</v>
      </c>
      <c r="R47" s="28">
        <f t="shared" si="35"/>
        <v>24.543428571428574</v>
      </c>
      <c r="S47" s="27">
        <v>80</v>
      </c>
      <c r="T47" s="29">
        <f t="shared" si="32"/>
        <v>220.32000000000002</v>
      </c>
      <c r="U47" s="27">
        <v>162</v>
      </c>
      <c r="V47" s="27">
        <v>9</v>
      </c>
      <c r="W47" s="27">
        <v>81</v>
      </c>
      <c r="X47" s="29">
        <f t="shared" si="10"/>
        <v>185</v>
      </c>
      <c r="Y47" s="27" t="s">
        <v>102</v>
      </c>
      <c r="Z47" s="27" t="s">
        <v>316</v>
      </c>
      <c r="AA47" s="29">
        <f t="shared" si="36"/>
        <v>3</v>
      </c>
      <c r="AB47" s="29">
        <f t="shared" si="37"/>
        <v>8</v>
      </c>
      <c r="AC47" s="29" t="str">
        <f t="shared" si="38"/>
        <v/>
      </c>
      <c r="AD47" s="29" t="str">
        <f t="shared" si="39"/>
        <v/>
      </c>
      <c r="AE47" s="29" t="str">
        <f t="shared" si="40"/>
        <v/>
      </c>
      <c r="AF47" s="29" t="str">
        <f t="shared" si="41"/>
        <v/>
      </c>
      <c r="AG47" s="27">
        <v>11</v>
      </c>
      <c r="AH47" s="27">
        <v>0</v>
      </c>
      <c r="AI47" s="27">
        <v>0</v>
      </c>
      <c r="AJ47" s="23" t="s">
        <v>401</v>
      </c>
      <c r="AK47" s="23" t="s">
        <v>425</v>
      </c>
      <c r="AN47" s="31" t="str">
        <f t="shared" si="12"/>
        <v>2 doors</v>
      </c>
      <c r="AO47" s="23" t="s">
        <v>314</v>
      </c>
      <c r="AP47" s="23" t="s">
        <v>89</v>
      </c>
      <c r="AQ47" s="23" t="s">
        <v>78</v>
      </c>
      <c r="AR47" s="34">
        <f t="shared" si="31"/>
        <v>2162.0100000000002</v>
      </c>
      <c r="AS47" s="23">
        <v>21</v>
      </c>
      <c r="AT47" s="23">
        <v>62</v>
      </c>
      <c r="AU47" s="23">
        <v>1</v>
      </c>
    </row>
    <row r="48" spans="1:47">
      <c r="A48" s="23" t="s">
        <v>393</v>
      </c>
      <c r="B48" s="23" t="s">
        <v>372</v>
      </c>
      <c r="C48" s="23">
        <v>3</v>
      </c>
      <c r="E48" s="23" t="s">
        <v>60</v>
      </c>
      <c r="F48" s="23" t="s">
        <v>407</v>
      </c>
      <c r="G48" s="27">
        <v>1973</v>
      </c>
      <c r="H48" s="27">
        <v>20</v>
      </c>
      <c r="I48" s="27">
        <v>25</v>
      </c>
      <c r="J48" s="27">
        <v>20</v>
      </c>
      <c r="K48" s="27">
        <v>10</v>
      </c>
      <c r="L48" s="27">
        <v>10</v>
      </c>
      <c r="M48" s="27">
        <v>10</v>
      </c>
      <c r="N48" s="27">
        <v>10</v>
      </c>
      <c r="P48" s="28">
        <f t="shared" si="0"/>
        <v>40</v>
      </c>
      <c r="Q48" s="28">
        <f t="shared" si="1"/>
        <v>18.445142857142859</v>
      </c>
      <c r="R48" s="28">
        <f t="shared" si="2"/>
        <v>24.213142857142859</v>
      </c>
      <c r="S48" s="27">
        <v>70</v>
      </c>
      <c r="T48" s="29">
        <f t="shared" si="32"/>
        <v>191.76000000000002</v>
      </c>
      <c r="U48" s="27">
        <v>141</v>
      </c>
      <c r="V48" s="27">
        <v>12</v>
      </c>
      <c r="W48" s="27">
        <v>147</v>
      </c>
      <c r="X48" s="29">
        <f t="shared" si="10"/>
        <v>200</v>
      </c>
      <c r="Y48" s="27" t="s">
        <v>69</v>
      </c>
      <c r="Z48" s="27" t="s">
        <v>315</v>
      </c>
      <c r="AA48" s="29">
        <f t="shared" si="36"/>
        <v>2</v>
      </c>
      <c r="AB48" s="29">
        <f t="shared" si="37"/>
        <v>8</v>
      </c>
      <c r="AC48" s="29">
        <f t="shared" si="38"/>
        <v>7</v>
      </c>
      <c r="AD48" s="29" t="str">
        <f t="shared" si="39"/>
        <v/>
      </c>
      <c r="AE48" s="29" t="str">
        <f t="shared" si="40"/>
        <v/>
      </c>
      <c r="AF48" s="29" t="str">
        <f t="shared" si="41"/>
        <v/>
      </c>
      <c r="AG48" s="27">
        <v>10</v>
      </c>
      <c r="AH48" s="27">
        <v>7</v>
      </c>
      <c r="AI48" s="27">
        <v>0</v>
      </c>
      <c r="AJ48" s="23" t="s">
        <v>401</v>
      </c>
      <c r="AK48" s="23" t="s">
        <v>403</v>
      </c>
      <c r="AN48" s="31" t="str">
        <f t="shared" si="12"/>
        <v>4 doors</v>
      </c>
      <c r="AO48" s="23" t="s">
        <v>394</v>
      </c>
      <c r="AP48" s="23" t="s">
        <v>71</v>
      </c>
      <c r="AQ48" s="23" t="s">
        <v>78</v>
      </c>
      <c r="AR48" s="34">
        <f t="shared" si="31"/>
        <v>2200</v>
      </c>
      <c r="AS48" s="23">
        <v>22</v>
      </c>
      <c r="AT48" s="23">
        <v>0</v>
      </c>
      <c r="AU48" s="23">
        <v>0</v>
      </c>
    </row>
    <row r="49" spans="1:47">
      <c r="A49" s="23" t="s">
        <v>393</v>
      </c>
      <c r="B49" s="23" t="s">
        <v>372</v>
      </c>
      <c r="C49" s="23">
        <v>3</v>
      </c>
      <c r="E49" s="23" t="s">
        <v>60</v>
      </c>
      <c r="F49" s="23" t="s">
        <v>407</v>
      </c>
      <c r="G49" s="27">
        <v>1973</v>
      </c>
      <c r="H49" s="27">
        <v>20</v>
      </c>
      <c r="I49" s="27">
        <v>25</v>
      </c>
      <c r="J49" s="27">
        <v>20</v>
      </c>
      <c r="K49" s="27">
        <v>10</v>
      </c>
      <c r="L49" s="27">
        <v>10</v>
      </c>
      <c r="M49" s="27">
        <v>10</v>
      </c>
      <c r="N49" s="27">
        <v>10</v>
      </c>
      <c r="P49" s="28">
        <f t="shared" si="0"/>
        <v>40</v>
      </c>
      <c r="Q49" s="28">
        <f t="shared" si="1"/>
        <v>18.445142857142859</v>
      </c>
      <c r="R49" s="28">
        <f t="shared" si="2"/>
        <v>24.213142857142859</v>
      </c>
      <c r="S49" s="27">
        <v>70</v>
      </c>
      <c r="T49" s="29">
        <f t="shared" si="32"/>
        <v>191.76000000000002</v>
      </c>
      <c r="U49" s="27">
        <v>141</v>
      </c>
      <c r="V49" s="27">
        <v>12</v>
      </c>
      <c r="W49" s="27">
        <v>147</v>
      </c>
      <c r="X49" s="29">
        <f t="shared" si="10"/>
        <v>200</v>
      </c>
      <c r="Y49" s="27" t="s">
        <v>102</v>
      </c>
      <c r="Z49" s="27" t="s">
        <v>316</v>
      </c>
      <c r="AA49" s="29">
        <f t="shared" si="3"/>
        <v>2</v>
      </c>
      <c r="AB49" s="29">
        <f t="shared" si="4"/>
        <v>8</v>
      </c>
      <c r="AC49" s="29">
        <f t="shared" si="5"/>
        <v>7</v>
      </c>
      <c r="AD49" s="29" t="str">
        <f t="shared" si="6"/>
        <v/>
      </c>
      <c r="AE49" s="29" t="str">
        <f t="shared" si="7"/>
        <v/>
      </c>
      <c r="AF49" s="29" t="str">
        <f t="shared" si="8"/>
        <v/>
      </c>
      <c r="AG49" s="27">
        <v>10</v>
      </c>
      <c r="AH49" s="27">
        <v>7</v>
      </c>
      <c r="AI49" s="27">
        <v>0</v>
      </c>
      <c r="AJ49" s="23" t="s">
        <v>401</v>
      </c>
      <c r="AK49" s="23" t="s">
        <v>403</v>
      </c>
      <c r="AN49" s="31" t="str">
        <f t="shared" ref="AN49:AN68" si="42">IF(O49&gt;0, "5 doors", IF(N49&gt;0, "4 doors", IF(M49&gt;0, "3 doors", IF(L49&gt;0, "2 doors", "1 door"))))</f>
        <v>4 doors</v>
      </c>
      <c r="AO49" s="23" t="s">
        <v>394</v>
      </c>
      <c r="AP49" s="23" t="s">
        <v>71</v>
      </c>
      <c r="AQ49" s="23" t="s">
        <v>78</v>
      </c>
      <c r="AR49" s="34">
        <f t="shared" si="31"/>
        <v>2200.0100000000002</v>
      </c>
      <c r="AS49" s="23">
        <v>22</v>
      </c>
      <c r="AT49" s="23">
        <v>0</v>
      </c>
      <c r="AU49" s="23">
        <v>1</v>
      </c>
    </row>
    <row r="50" spans="1:47">
      <c r="A50" s="23" t="s">
        <v>393</v>
      </c>
      <c r="B50" s="23" t="s">
        <v>372</v>
      </c>
      <c r="C50" s="23">
        <v>3</v>
      </c>
      <c r="E50" s="23" t="s">
        <v>60</v>
      </c>
      <c r="F50" s="23" t="s">
        <v>407</v>
      </c>
      <c r="G50" s="27">
        <v>1973</v>
      </c>
      <c r="H50" s="27">
        <v>20</v>
      </c>
      <c r="I50" s="27">
        <v>25</v>
      </c>
      <c r="J50" s="27">
        <v>20</v>
      </c>
      <c r="K50" s="27">
        <v>10</v>
      </c>
      <c r="L50" s="27">
        <v>10</v>
      </c>
      <c r="M50" s="27">
        <v>10</v>
      </c>
      <c r="N50" s="27">
        <v>10</v>
      </c>
      <c r="P50" s="28">
        <f t="shared" si="0"/>
        <v>40</v>
      </c>
      <c r="Q50" s="28">
        <f t="shared" si="1"/>
        <v>18.445142857142859</v>
      </c>
      <c r="R50" s="28">
        <f t="shared" si="2"/>
        <v>24.213142857142859</v>
      </c>
      <c r="S50" s="27">
        <v>70</v>
      </c>
      <c r="T50" s="29">
        <f t="shared" si="32"/>
        <v>191.76000000000002</v>
      </c>
      <c r="U50" s="27">
        <v>141</v>
      </c>
      <c r="V50" s="27">
        <v>12</v>
      </c>
      <c r="W50" s="27">
        <v>147</v>
      </c>
      <c r="X50" s="29">
        <f t="shared" si="10"/>
        <v>200</v>
      </c>
      <c r="Y50" s="27" t="s">
        <v>287</v>
      </c>
      <c r="Z50" s="27" t="s">
        <v>287</v>
      </c>
      <c r="AA50" s="29">
        <f t="shared" si="3"/>
        <v>2</v>
      </c>
      <c r="AB50" s="29">
        <f t="shared" si="4"/>
        <v>8</v>
      </c>
      <c r="AC50" s="29">
        <f t="shared" si="5"/>
        <v>7</v>
      </c>
      <c r="AD50" s="29" t="str">
        <f t="shared" si="6"/>
        <v/>
      </c>
      <c r="AE50" s="29" t="str">
        <f t="shared" si="7"/>
        <v/>
      </c>
      <c r="AF50" s="29" t="str">
        <f t="shared" si="8"/>
        <v/>
      </c>
      <c r="AG50" s="27">
        <v>10</v>
      </c>
      <c r="AH50" s="27">
        <v>7</v>
      </c>
      <c r="AI50" s="27">
        <v>0</v>
      </c>
      <c r="AJ50" s="23" t="s">
        <v>401</v>
      </c>
      <c r="AK50" s="23" t="s">
        <v>403</v>
      </c>
      <c r="AN50" s="31" t="str">
        <f t="shared" si="42"/>
        <v>4 doors</v>
      </c>
      <c r="AO50" s="23" t="s">
        <v>394</v>
      </c>
      <c r="AP50" s="23" t="s">
        <v>71</v>
      </c>
      <c r="AQ50" s="23" t="s">
        <v>191</v>
      </c>
      <c r="AR50" s="34">
        <f t="shared" si="31"/>
        <v>2200.02</v>
      </c>
      <c r="AS50" s="23">
        <v>22</v>
      </c>
      <c r="AT50" s="23">
        <v>0</v>
      </c>
      <c r="AU50" s="23">
        <v>2</v>
      </c>
    </row>
    <row r="51" spans="1:47">
      <c r="A51" s="23" t="s">
        <v>393</v>
      </c>
      <c r="B51" s="23" t="s">
        <v>372</v>
      </c>
      <c r="C51" s="23">
        <v>3</v>
      </c>
      <c r="E51" s="23" t="s">
        <v>60</v>
      </c>
      <c r="F51" s="23" t="s">
        <v>407</v>
      </c>
      <c r="G51" s="27">
        <v>1973</v>
      </c>
      <c r="H51" s="27">
        <v>20</v>
      </c>
      <c r="I51" s="27">
        <v>25</v>
      </c>
      <c r="J51" s="27">
        <v>20</v>
      </c>
      <c r="K51" s="27">
        <v>10</v>
      </c>
      <c r="L51" s="27">
        <v>10</v>
      </c>
      <c r="M51" s="27">
        <v>10</v>
      </c>
      <c r="N51" s="27">
        <v>10</v>
      </c>
      <c r="P51" s="28">
        <f t="shared" si="0"/>
        <v>40</v>
      </c>
      <c r="Q51" s="28">
        <f t="shared" si="1"/>
        <v>18.445142857142859</v>
      </c>
      <c r="R51" s="28">
        <f t="shared" si="2"/>
        <v>24.213142857142859</v>
      </c>
      <c r="S51" s="27">
        <v>70</v>
      </c>
      <c r="T51" s="29">
        <f t="shared" si="32"/>
        <v>191.76000000000002</v>
      </c>
      <c r="U51" s="27">
        <v>141</v>
      </c>
      <c r="V51" s="27">
        <v>12</v>
      </c>
      <c r="W51" s="27">
        <v>147</v>
      </c>
      <c r="X51" s="29">
        <f t="shared" si="10"/>
        <v>200</v>
      </c>
      <c r="Y51" s="27" t="s">
        <v>192</v>
      </c>
      <c r="Z51" s="27" t="s">
        <v>390</v>
      </c>
      <c r="AA51" s="29">
        <f t="shared" si="3"/>
        <v>2</v>
      </c>
      <c r="AB51" s="29">
        <f t="shared" si="4"/>
        <v>8</v>
      </c>
      <c r="AC51" s="29">
        <f t="shared" si="5"/>
        <v>7</v>
      </c>
      <c r="AD51" s="29" t="str">
        <f t="shared" si="6"/>
        <v/>
      </c>
      <c r="AE51" s="29" t="str">
        <f t="shared" si="7"/>
        <v/>
      </c>
      <c r="AF51" s="29" t="str">
        <f t="shared" si="8"/>
        <v/>
      </c>
      <c r="AG51" s="27">
        <v>10</v>
      </c>
      <c r="AH51" s="27">
        <v>7</v>
      </c>
      <c r="AI51" s="27">
        <v>0</v>
      </c>
      <c r="AJ51" s="23" t="s">
        <v>401</v>
      </c>
      <c r="AK51" s="23" t="s">
        <v>403</v>
      </c>
      <c r="AN51" s="31" t="str">
        <f t="shared" si="42"/>
        <v>4 doors</v>
      </c>
      <c r="AO51" s="23" t="s">
        <v>394</v>
      </c>
      <c r="AP51" s="23" t="s">
        <v>71</v>
      </c>
      <c r="AQ51" s="23" t="s">
        <v>191</v>
      </c>
      <c r="AR51" s="34">
        <f t="shared" si="31"/>
        <v>2200.0300000000002</v>
      </c>
      <c r="AS51" s="23">
        <v>22</v>
      </c>
      <c r="AT51" s="23">
        <v>0</v>
      </c>
      <c r="AU51" s="23">
        <v>3</v>
      </c>
    </row>
    <row r="52" spans="1:47">
      <c r="A52" s="23" t="s">
        <v>395</v>
      </c>
      <c r="B52" s="23" t="s">
        <v>404</v>
      </c>
      <c r="C52" s="23">
        <v>3</v>
      </c>
      <c r="E52" s="23" t="s">
        <v>60</v>
      </c>
      <c r="F52" s="23" t="s">
        <v>411</v>
      </c>
      <c r="G52" s="27">
        <v>1974</v>
      </c>
      <c r="H52" s="27">
        <v>20</v>
      </c>
      <c r="I52" s="27">
        <v>25</v>
      </c>
      <c r="J52" s="27">
        <v>20</v>
      </c>
      <c r="K52" s="27">
        <v>10</v>
      </c>
      <c r="L52" s="27">
        <v>10</v>
      </c>
      <c r="P52" s="28">
        <f t="shared" si="0"/>
        <v>20</v>
      </c>
      <c r="Q52" s="28">
        <f t="shared" si="1"/>
        <v>17.016571428571428</v>
      </c>
      <c r="R52" s="28">
        <f t="shared" si="2"/>
        <v>22.571238095238094</v>
      </c>
      <c r="S52" s="27">
        <v>90</v>
      </c>
      <c r="T52" s="29">
        <f t="shared" si="32"/>
        <v>191.76000000000002</v>
      </c>
      <c r="U52" s="27">
        <v>141</v>
      </c>
      <c r="V52" s="27">
        <v>12</v>
      </c>
      <c r="W52" s="27">
        <v>115</v>
      </c>
      <c r="X52" s="29">
        <f t="shared" si="10"/>
        <v>185</v>
      </c>
      <c r="Y52" s="27" t="s">
        <v>69</v>
      </c>
      <c r="Z52" s="27" t="s">
        <v>315</v>
      </c>
      <c r="AA52" s="29">
        <f t="shared" si="3"/>
        <v>2</v>
      </c>
      <c r="AB52" s="29">
        <f t="shared" si="4"/>
        <v>8</v>
      </c>
      <c r="AC52" s="29">
        <f t="shared" si="5"/>
        <v>7</v>
      </c>
      <c r="AD52" s="29" t="str">
        <f t="shared" si="6"/>
        <v/>
      </c>
      <c r="AE52" s="29" t="str">
        <f t="shared" si="7"/>
        <v/>
      </c>
      <c r="AF52" s="29" t="str">
        <f t="shared" si="8"/>
        <v/>
      </c>
      <c r="AG52" s="27">
        <v>10</v>
      </c>
      <c r="AH52" s="27">
        <v>7</v>
      </c>
      <c r="AI52" s="27">
        <v>0</v>
      </c>
      <c r="AJ52" s="23" t="s">
        <v>401</v>
      </c>
      <c r="AK52" s="23" t="s">
        <v>403</v>
      </c>
      <c r="AN52" s="31" t="str">
        <f t="shared" si="42"/>
        <v>2 doors</v>
      </c>
      <c r="AO52" s="23" t="s">
        <v>394</v>
      </c>
      <c r="AP52" s="23" t="s">
        <v>89</v>
      </c>
      <c r="AQ52" s="23" t="s">
        <v>78</v>
      </c>
      <c r="AR52" s="34">
        <f t="shared" si="31"/>
        <v>2202</v>
      </c>
      <c r="AS52" s="23">
        <v>22</v>
      </c>
      <c r="AT52" s="23">
        <v>2</v>
      </c>
      <c r="AU52" s="23">
        <v>0</v>
      </c>
    </row>
    <row r="53" spans="1:47">
      <c r="A53" s="23" t="s">
        <v>395</v>
      </c>
      <c r="B53" s="23" t="s">
        <v>404</v>
      </c>
      <c r="C53" s="23">
        <v>3</v>
      </c>
      <c r="E53" s="23" t="s">
        <v>60</v>
      </c>
      <c r="F53" s="23" t="s">
        <v>411</v>
      </c>
      <c r="G53" s="27">
        <v>1974</v>
      </c>
      <c r="H53" s="27">
        <v>20</v>
      </c>
      <c r="I53" s="27">
        <v>25</v>
      </c>
      <c r="J53" s="27">
        <v>20</v>
      </c>
      <c r="K53" s="27">
        <v>10</v>
      </c>
      <c r="L53" s="27">
        <v>10</v>
      </c>
      <c r="P53" s="28">
        <f t="shared" si="0"/>
        <v>20</v>
      </c>
      <c r="Q53" s="28">
        <f t="shared" si="1"/>
        <v>17.016571428571428</v>
      </c>
      <c r="R53" s="28">
        <f t="shared" si="2"/>
        <v>22.571238095238094</v>
      </c>
      <c r="S53" s="27">
        <v>90</v>
      </c>
      <c r="T53" s="29">
        <f t="shared" si="32"/>
        <v>191.76000000000002</v>
      </c>
      <c r="U53" s="27">
        <v>141</v>
      </c>
      <c r="V53" s="27">
        <v>12</v>
      </c>
      <c r="W53" s="27">
        <v>115</v>
      </c>
      <c r="X53" s="29">
        <f t="shared" si="10"/>
        <v>185</v>
      </c>
      <c r="Y53" s="27" t="s">
        <v>102</v>
      </c>
      <c r="Z53" s="27" t="s">
        <v>316</v>
      </c>
      <c r="AA53" s="29">
        <f t="shared" si="3"/>
        <v>2</v>
      </c>
      <c r="AB53" s="29">
        <f t="shared" si="4"/>
        <v>8</v>
      </c>
      <c r="AC53" s="29">
        <f t="shared" si="5"/>
        <v>7</v>
      </c>
      <c r="AD53" s="29" t="str">
        <f t="shared" si="6"/>
        <v/>
      </c>
      <c r="AE53" s="29" t="str">
        <f t="shared" si="7"/>
        <v/>
      </c>
      <c r="AF53" s="29" t="str">
        <f t="shared" si="8"/>
        <v/>
      </c>
      <c r="AG53" s="27">
        <v>10</v>
      </c>
      <c r="AH53" s="27">
        <v>7</v>
      </c>
      <c r="AI53" s="27">
        <v>0</v>
      </c>
      <c r="AJ53" s="23" t="s">
        <v>401</v>
      </c>
      <c r="AK53" s="23" t="s">
        <v>403</v>
      </c>
      <c r="AN53" s="31" t="str">
        <f t="shared" si="42"/>
        <v>2 doors</v>
      </c>
      <c r="AO53" s="23" t="s">
        <v>394</v>
      </c>
      <c r="AP53" s="23" t="s">
        <v>89</v>
      </c>
      <c r="AQ53" s="23" t="s">
        <v>78</v>
      </c>
      <c r="AR53" s="34">
        <f t="shared" si="31"/>
        <v>2202.0100000000002</v>
      </c>
      <c r="AS53" s="23">
        <v>22</v>
      </c>
      <c r="AT53" s="23">
        <v>2</v>
      </c>
      <c r="AU53" s="23">
        <v>1</v>
      </c>
    </row>
    <row r="54" spans="1:47">
      <c r="A54" s="23" t="s">
        <v>395</v>
      </c>
      <c r="B54" s="23" t="s">
        <v>404</v>
      </c>
      <c r="C54" s="23">
        <v>3</v>
      </c>
      <c r="E54" s="23" t="s">
        <v>60</v>
      </c>
      <c r="F54" s="23" t="s">
        <v>411</v>
      </c>
      <c r="G54" s="27">
        <v>1974</v>
      </c>
      <c r="H54" s="27">
        <v>20</v>
      </c>
      <c r="I54" s="27">
        <v>25</v>
      </c>
      <c r="J54" s="27">
        <v>20</v>
      </c>
      <c r="K54" s="27">
        <v>10</v>
      </c>
      <c r="L54" s="27">
        <v>10</v>
      </c>
      <c r="P54" s="28">
        <f t="shared" si="0"/>
        <v>20</v>
      </c>
      <c r="Q54" s="28">
        <f t="shared" si="1"/>
        <v>17.016571428571428</v>
      </c>
      <c r="R54" s="28">
        <f t="shared" si="2"/>
        <v>22.571238095238094</v>
      </c>
      <c r="S54" s="27">
        <v>90</v>
      </c>
      <c r="T54" s="29">
        <f t="shared" si="32"/>
        <v>191.76000000000002</v>
      </c>
      <c r="U54" s="27">
        <v>141</v>
      </c>
      <c r="V54" s="27">
        <v>12</v>
      </c>
      <c r="W54" s="27">
        <v>115</v>
      </c>
      <c r="X54" s="29">
        <f t="shared" si="10"/>
        <v>185</v>
      </c>
      <c r="Y54" s="27" t="s">
        <v>192</v>
      </c>
      <c r="Z54" s="27" t="s">
        <v>390</v>
      </c>
      <c r="AA54" s="29">
        <f t="shared" si="3"/>
        <v>2</v>
      </c>
      <c r="AB54" s="29">
        <f t="shared" si="4"/>
        <v>8</v>
      </c>
      <c r="AC54" s="29">
        <f t="shared" si="5"/>
        <v>7</v>
      </c>
      <c r="AD54" s="29" t="str">
        <f t="shared" si="6"/>
        <v/>
      </c>
      <c r="AE54" s="29" t="str">
        <f t="shared" si="7"/>
        <v/>
      </c>
      <c r="AF54" s="29" t="str">
        <f t="shared" si="8"/>
        <v/>
      </c>
      <c r="AG54" s="27">
        <v>10</v>
      </c>
      <c r="AH54" s="27">
        <v>7</v>
      </c>
      <c r="AI54" s="27">
        <v>0</v>
      </c>
      <c r="AJ54" s="23" t="s">
        <v>401</v>
      </c>
      <c r="AK54" s="23" t="s">
        <v>403</v>
      </c>
      <c r="AN54" s="31" t="str">
        <f t="shared" si="42"/>
        <v>2 doors</v>
      </c>
      <c r="AO54" s="23" t="s">
        <v>394</v>
      </c>
      <c r="AP54" s="23" t="s">
        <v>89</v>
      </c>
      <c r="AQ54" s="23" t="s">
        <v>191</v>
      </c>
      <c r="AR54" s="34">
        <f t="shared" si="31"/>
        <v>2202.02</v>
      </c>
      <c r="AS54" s="23">
        <v>22</v>
      </c>
      <c r="AT54" s="23">
        <v>2</v>
      </c>
      <c r="AU54" s="23">
        <v>2</v>
      </c>
    </row>
    <row r="55" spans="1:47">
      <c r="A55" s="23" t="s">
        <v>397</v>
      </c>
      <c r="B55" s="23" t="s">
        <v>372</v>
      </c>
      <c r="C55" s="23">
        <v>3</v>
      </c>
      <c r="E55" s="23" t="s">
        <v>60</v>
      </c>
      <c r="F55" s="23" t="s">
        <v>414</v>
      </c>
      <c r="G55" s="27">
        <v>1985</v>
      </c>
      <c r="H55" s="27">
        <v>20</v>
      </c>
      <c r="I55" s="27">
        <v>25</v>
      </c>
      <c r="J55" s="27">
        <v>20</v>
      </c>
      <c r="K55" s="27">
        <v>10</v>
      </c>
      <c r="L55" s="27">
        <v>10</v>
      </c>
      <c r="M55" s="27">
        <v>10</v>
      </c>
      <c r="N55" s="27">
        <v>10</v>
      </c>
      <c r="P55" s="28">
        <f t="shared" si="0"/>
        <v>40</v>
      </c>
      <c r="Q55" s="28">
        <f t="shared" si="1"/>
        <v>19.873142857142859</v>
      </c>
      <c r="R55" s="28">
        <f t="shared" si="2"/>
        <v>27.069142857142861</v>
      </c>
      <c r="S55" s="27">
        <v>70</v>
      </c>
      <c r="T55" s="29">
        <f t="shared" si="32"/>
        <v>220.32000000000002</v>
      </c>
      <c r="U55" s="27">
        <v>162</v>
      </c>
      <c r="V55" s="27">
        <v>12</v>
      </c>
      <c r="W55" s="27">
        <v>147</v>
      </c>
      <c r="X55" s="29">
        <f t="shared" si="10"/>
        <v>200</v>
      </c>
      <c r="Y55" s="27" t="s">
        <v>69</v>
      </c>
      <c r="Z55" s="27" t="s">
        <v>315</v>
      </c>
      <c r="AA55" s="29">
        <f t="shared" si="3"/>
        <v>2</v>
      </c>
      <c r="AB55" s="29">
        <f t="shared" si="4"/>
        <v>8</v>
      </c>
      <c r="AC55" s="29">
        <f t="shared" si="5"/>
        <v>7</v>
      </c>
      <c r="AD55" s="29" t="str">
        <f t="shared" si="6"/>
        <v/>
      </c>
      <c r="AE55" s="29" t="str">
        <f t="shared" si="7"/>
        <v/>
      </c>
      <c r="AF55" s="29" t="str">
        <f t="shared" si="8"/>
        <v/>
      </c>
      <c r="AG55" s="27">
        <v>10</v>
      </c>
      <c r="AH55" s="27">
        <v>7</v>
      </c>
      <c r="AI55" s="27">
        <v>0</v>
      </c>
      <c r="AJ55" s="23" t="s">
        <v>401</v>
      </c>
      <c r="AK55" s="23" t="s">
        <v>403</v>
      </c>
      <c r="AN55" s="31" t="str">
        <f t="shared" si="42"/>
        <v>4 doors</v>
      </c>
      <c r="AO55" s="23" t="s">
        <v>394</v>
      </c>
      <c r="AP55" s="23" t="s">
        <v>71</v>
      </c>
      <c r="AQ55" s="23" t="s">
        <v>78</v>
      </c>
      <c r="AR55" s="34">
        <f t="shared" si="31"/>
        <v>2203</v>
      </c>
      <c r="AS55" s="23">
        <v>22</v>
      </c>
      <c r="AT55" s="23">
        <v>3</v>
      </c>
      <c r="AU55" s="23">
        <v>0</v>
      </c>
    </row>
    <row r="56" spans="1:47">
      <c r="A56" s="23" t="s">
        <v>397</v>
      </c>
      <c r="B56" s="23" t="s">
        <v>372</v>
      </c>
      <c r="C56" s="23">
        <v>3</v>
      </c>
      <c r="E56" s="23" t="s">
        <v>60</v>
      </c>
      <c r="F56" s="23" t="s">
        <v>414</v>
      </c>
      <c r="G56" s="27">
        <v>1985</v>
      </c>
      <c r="H56" s="27">
        <v>20</v>
      </c>
      <c r="I56" s="27">
        <v>25</v>
      </c>
      <c r="J56" s="27">
        <v>20</v>
      </c>
      <c r="K56" s="27">
        <v>10</v>
      </c>
      <c r="L56" s="27">
        <v>10</v>
      </c>
      <c r="M56" s="27">
        <v>10</v>
      </c>
      <c r="N56" s="27">
        <v>10</v>
      </c>
      <c r="P56" s="28">
        <f t="shared" si="0"/>
        <v>40</v>
      </c>
      <c r="Q56" s="28">
        <f t="shared" si="1"/>
        <v>19.873142857142859</v>
      </c>
      <c r="R56" s="28">
        <f t="shared" si="2"/>
        <v>27.069142857142861</v>
      </c>
      <c r="S56" s="27">
        <v>70</v>
      </c>
      <c r="T56" s="29">
        <f t="shared" si="32"/>
        <v>220.32000000000002</v>
      </c>
      <c r="U56" s="27">
        <v>162</v>
      </c>
      <c r="V56" s="27">
        <v>12</v>
      </c>
      <c r="W56" s="27">
        <v>147</v>
      </c>
      <c r="X56" s="29">
        <f t="shared" si="10"/>
        <v>200</v>
      </c>
      <c r="Y56" s="27" t="s">
        <v>102</v>
      </c>
      <c r="Z56" s="27" t="s">
        <v>316</v>
      </c>
      <c r="AA56" s="29">
        <f t="shared" si="3"/>
        <v>2</v>
      </c>
      <c r="AB56" s="29">
        <f t="shared" si="4"/>
        <v>8</v>
      </c>
      <c r="AC56" s="29">
        <f t="shared" si="5"/>
        <v>7</v>
      </c>
      <c r="AD56" s="29" t="str">
        <f t="shared" si="6"/>
        <v/>
      </c>
      <c r="AE56" s="29" t="str">
        <f t="shared" si="7"/>
        <v/>
      </c>
      <c r="AF56" s="29" t="str">
        <f t="shared" si="8"/>
        <v/>
      </c>
      <c r="AG56" s="27">
        <v>10</v>
      </c>
      <c r="AH56" s="27">
        <v>7</v>
      </c>
      <c r="AI56" s="27">
        <v>0</v>
      </c>
      <c r="AJ56" s="23" t="s">
        <v>401</v>
      </c>
      <c r="AK56" s="23" t="s">
        <v>403</v>
      </c>
      <c r="AN56" s="31" t="str">
        <f t="shared" si="42"/>
        <v>4 doors</v>
      </c>
      <c r="AO56" s="23" t="s">
        <v>394</v>
      </c>
      <c r="AP56" s="23" t="s">
        <v>71</v>
      </c>
      <c r="AQ56" s="23" t="s">
        <v>78</v>
      </c>
      <c r="AR56" s="34">
        <f t="shared" ref="AR56:AR74" si="43">(AS56*100)+AT56+(AU56/100)</f>
        <v>2203.0100000000002</v>
      </c>
      <c r="AS56" s="23">
        <v>22</v>
      </c>
      <c r="AT56" s="23">
        <v>3</v>
      </c>
      <c r="AU56" s="23">
        <v>1</v>
      </c>
    </row>
    <row r="57" spans="1:47">
      <c r="A57" s="23" t="s">
        <v>397</v>
      </c>
      <c r="B57" s="23" t="s">
        <v>372</v>
      </c>
      <c r="C57" s="23">
        <v>3</v>
      </c>
      <c r="E57" s="23" t="s">
        <v>60</v>
      </c>
      <c r="F57" s="23" t="s">
        <v>414</v>
      </c>
      <c r="G57" s="27">
        <v>1985</v>
      </c>
      <c r="H57" s="27">
        <v>20</v>
      </c>
      <c r="I57" s="27">
        <v>25</v>
      </c>
      <c r="J57" s="27">
        <v>20</v>
      </c>
      <c r="K57" s="27">
        <v>10</v>
      </c>
      <c r="L57" s="27">
        <v>10</v>
      </c>
      <c r="M57" s="27">
        <v>10</v>
      </c>
      <c r="N57" s="27">
        <v>10</v>
      </c>
      <c r="P57" s="28">
        <f t="shared" si="0"/>
        <v>40</v>
      </c>
      <c r="Q57" s="28">
        <f t="shared" si="1"/>
        <v>19.873142857142859</v>
      </c>
      <c r="R57" s="28">
        <f t="shared" si="2"/>
        <v>27.069142857142861</v>
      </c>
      <c r="S57" s="27">
        <v>70</v>
      </c>
      <c r="T57" s="29">
        <f t="shared" si="32"/>
        <v>220.32000000000002</v>
      </c>
      <c r="U57" s="27">
        <v>162</v>
      </c>
      <c r="V57" s="27">
        <v>12</v>
      </c>
      <c r="W57" s="27">
        <v>147</v>
      </c>
      <c r="X57" s="29">
        <f t="shared" si="10"/>
        <v>200</v>
      </c>
      <c r="Y57" s="27" t="s">
        <v>287</v>
      </c>
      <c r="Z57" s="27" t="s">
        <v>287</v>
      </c>
      <c r="AA57" s="29">
        <f t="shared" si="3"/>
        <v>2</v>
      </c>
      <c r="AB57" s="29">
        <f t="shared" si="4"/>
        <v>8</v>
      </c>
      <c r="AC57" s="29">
        <f t="shared" si="5"/>
        <v>7</v>
      </c>
      <c r="AD57" s="29" t="str">
        <f t="shared" si="6"/>
        <v/>
      </c>
      <c r="AE57" s="29" t="str">
        <f t="shared" si="7"/>
        <v/>
      </c>
      <c r="AF57" s="29" t="str">
        <f t="shared" si="8"/>
        <v/>
      </c>
      <c r="AG57" s="27">
        <v>10</v>
      </c>
      <c r="AH57" s="27">
        <v>7</v>
      </c>
      <c r="AI57" s="27">
        <v>0</v>
      </c>
      <c r="AJ57" s="23" t="s">
        <v>401</v>
      </c>
      <c r="AK57" s="23" t="s">
        <v>403</v>
      </c>
      <c r="AN57" s="31" t="str">
        <f t="shared" si="42"/>
        <v>4 doors</v>
      </c>
      <c r="AO57" s="23" t="s">
        <v>394</v>
      </c>
      <c r="AP57" s="23" t="s">
        <v>71</v>
      </c>
      <c r="AQ57" s="23" t="s">
        <v>191</v>
      </c>
      <c r="AR57" s="34">
        <f t="shared" si="43"/>
        <v>2203.02</v>
      </c>
      <c r="AS57" s="23">
        <v>22</v>
      </c>
      <c r="AT57" s="23">
        <v>3</v>
      </c>
      <c r="AU57" s="23">
        <v>2</v>
      </c>
    </row>
    <row r="58" spans="1:47">
      <c r="A58" s="23" t="s">
        <v>396</v>
      </c>
      <c r="B58" s="23" t="s">
        <v>405</v>
      </c>
      <c r="C58" s="23">
        <v>3</v>
      </c>
      <c r="E58" s="23" t="s">
        <v>60</v>
      </c>
      <c r="F58" s="23" t="s">
        <v>413</v>
      </c>
      <c r="G58" s="27">
        <v>1979</v>
      </c>
      <c r="H58" s="27">
        <v>20</v>
      </c>
      <c r="I58" s="27">
        <v>25</v>
      </c>
      <c r="J58" s="27">
        <v>20</v>
      </c>
      <c r="K58" s="27">
        <v>10</v>
      </c>
      <c r="L58" s="27">
        <v>10</v>
      </c>
      <c r="M58" s="27">
        <v>10</v>
      </c>
      <c r="P58" s="28">
        <f t="shared" si="0"/>
        <v>30</v>
      </c>
      <c r="Q58" s="28">
        <f t="shared" si="1"/>
        <v>19.158857142857144</v>
      </c>
      <c r="R58" s="28">
        <f t="shared" si="2"/>
        <v>26.008190476190478</v>
      </c>
      <c r="S58" s="27">
        <v>70</v>
      </c>
      <c r="T58" s="29">
        <f t="shared" si="32"/>
        <v>220.32000000000002</v>
      </c>
      <c r="U58" s="27">
        <v>162</v>
      </c>
      <c r="V58" s="27">
        <v>12</v>
      </c>
      <c r="W58" s="27">
        <v>95</v>
      </c>
      <c r="X58" s="29">
        <f t="shared" si="10"/>
        <v>200</v>
      </c>
      <c r="Y58" s="27" t="s">
        <v>69</v>
      </c>
      <c r="Z58" s="27" t="s">
        <v>315</v>
      </c>
      <c r="AA58" s="29">
        <f t="shared" si="3"/>
        <v>2</v>
      </c>
      <c r="AB58" s="29">
        <f t="shared" si="4"/>
        <v>8</v>
      </c>
      <c r="AC58" s="29">
        <f t="shared" si="5"/>
        <v>7</v>
      </c>
      <c r="AD58" s="29" t="str">
        <f t="shared" si="6"/>
        <v/>
      </c>
      <c r="AE58" s="29" t="str">
        <f t="shared" si="7"/>
        <v/>
      </c>
      <c r="AF58" s="29" t="str">
        <f t="shared" si="8"/>
        <v/>
      </c>
      <c r="AG58" s="27">
        <v>10</v>
      </c>
      <c r="AH58" s="27">
        <v>7</v>
      </c>
      <c r="AI58" s="27">
        <v>0</v>
      </c>
      <c r="AJ58" s="23" t="s">
        <v>401</v>
      </c>
      <c r="AK58" s="23" t="s">
        <v>403</v>
      </c>
      <c r="AN58" s="31" t="str">
        <f t="shared" si="42"/>
        <v>3 doors</v>
      </c>
      <c r="AO58" s="23" t="s">
        <v>394</v>
      </c>
      <c r="AP58" s="23" t="s">
        <v>72</v>
      </c>
      <c r="AQ58" s="23" t="s">
        <v>78</v>
      </c>
      <c r="AR58" s="34">
        <f t="shared" si="43"/>
        <v>2204</v>
      </c>
      <c r="AS58" s="23">
        <v>22</v>
      </c>
      <c r="AT58" s="23">
        <v>4</v>
      </c>
      <c r="AU58" s="23">
        <v>0</v>
      </c>
    </row>
    <row r="59" spans="1:47">
      <c r="A59" s="23" t="s">
        <v>396</v>
      </c>
      <c r="B59" s="23" t="s">
        <v>405</v>
      </c>
      <c r="C59" s="23">
        <v>3</v>
      </c>
      <c r="E59" s="23" t="s">
        <v>60</v>
      </c>
      <c r="F59" s="23" t="s">
        <v>413</v>
      </c>
      <c r="G59" s="27">
        <v>1979</v>
      </c>
      <c r="H59" s="27">
        <v>20</v>
      </c>
      <c r="I59" s="27">
        <v>25</v>
      </c>
      <c r="J59" s="27">
        <v>20</v>
      </c>
      <c r="K59" s="27">
        <v>10</v>
      </c>
      <c r="L59" s="27">
        <v>10</v>
      </c>
      <c r="M59" s="27">
        <v>10</v>
      </c>
      <c r="P59" s="28">
        <f t="shared" si="0"/>
        <v>30</v>
      </c>
      <c r="Q59" s="28">
        <f t="shared" si="1"/>
        <v>19.158857142857144</v>
      </c>
      <c r="R59" s="28">
        <f t="shared" si="2"/>
        <v>26.008190476190478</v>
      </c>
      <c r="S59" s="27">
        <v>70</v>
      </c>
      <c r="T59" s="29">
        <f t="shared" si="32"/>
        <v>220.32000000000002</v>
      </c>
      <c r="U59" s="27">
        <v>162</v>
      </c>
      <c r="V59" s="27">
        <v>12</v>
      </c>
      <c r="W59" s="27">
        <v>95</v>
      </c>
      <c r="X59" s="29">
        <f t="shared" si="10"/>
        <v>200</v>
      </c>
      <c r="Y59" s="27" t="s">
        <v>102</v>
      </c>
      <c r="Z59" s="27" t="s">
        <v>316</v>
      </c>
      <c r="AA59" s="29">
        <f t="shared" si="3"/>
        <v>2</v>
      </c>
      <c r="AB59" s="29">
        <f t="shared" si="4"/>
        <v>8</v>
      </c>
      <c r="AC59" s="29">
        <f t="shared" si="5"/>
        <v>7</v>
      </c>
      <c r="AD59" s="29" t="str">
        <f t="shared" si="6"/>
        <v/>
      </c>
      <c r="AE59" s="29" t="str">
        <f t="shared" si="7"/>
        <v/>
      </c>
      <c r="AF59" s="29" t="str">
        <f t="shared" si="8"/>
        <v/>
      </c>
      <c r="AG59" s="27">
        <v>10</v>
      </c>
      <c r="AH59" s="27">
        <v>7</v>
      </c>
      <c r="AI59" s="27">
        <v>0</v>
      </c>
      <c r="AJ59" s="23" t="s">
        <v>401</v>
      </c>
      <c r="AK59" s="23" t="s">
        <v>403</v>
      </c>
      <c r="AN59" s="31" t="str">
        <f t="shared" si="42"/>
        <v>3 doors</v>
      </c>
      <c r="AO59" s="23" t="s">
        <v>394</v>
      </c>
      <c r="AP59" s="23" t="s">
        <v>72</v>
      </c>
      <c r="AQ59" s="23" t="s">
        <v>78</v>
      </c>
      <c r="AR59" s="34">
        <f t="shared" si="43"/>
        <v>2204.0100000000002</v>
      </c>
      <c r="AS59" s="23">
        <v>22</v>
      </c>
      <c r="AT59" s="23">
        <v>4</v>
      </c>
      <c r="AU59" s="23">
        <v>1</v>
      </c>
    </row>
    <row r="60" spans="1:47">
      <c r="A60" s="23" t="s">
        <v>396</v>
      </c>
      <c r="B60" s="23" t="s">
        <v>405</v>
      </c>
      <c r="C60" s="23">
        <v>3</v>
      </c>
      <c r="E60" s="23" t="s">
        <v>60</v>
      </c>
      <c r="F60" s="23" t="s">
        <v>413</v>
      </c>
      <c r="G60" s="27">
        <v>1979</v>
      </c>
      <c r="H60" s="27">
        <v>20</v>
      </c>
      <c r="I60" s="27">
        <v>25</v>
      </c>
      <c r="J60" s="27">
        <v>20</v>
      </c>
      <c r="K60" s="27">
        <v>10</v>
      </c>
      <c r="L60" s="27">
        <v>10</v>
      </c>
      <c r="M60" s="27">
        <v>10</v>
      </c>
      <c r="P60" s="28">
        <f t="shared" si="0"/>
        <v>30</v>
      </c>
      <c r="Q60" s="28">
        <f t="shared" si="1"/>
        <v>19.158857142857144</v>
      </c>
      <c r="R60" s="28">
        <f t="shared" si="2"/>
        <v>26.008190476190478</v>
      </c>
      <c r="S60" s="27">
        <v>70</v>
      </c>
      <c r="T60" s="29">
        <f t="shared" si="32"/>
        <v>220.32000000000002</v>
      </c>
      <c r="U60" s="27">
        <v>162</v>
      </c>
      <c r="V60" s="27">
        <v>12</v>
      </c>
      <c r="W60" s="27">
        <v>95</v>
      </c>
      <c r="X60" s="29">
        <f t="shared" si="10"/>
        <v>200</v>
      </c>
      <c r="Y60" s="27" t="s">
        <v>192</v>
      </c>
      <c r="Z60" s="27" t="s">
        <v>390</v>
      </c>
      <c r="AA60" s="29">
        <f t="shared" si="3"/>
        <v>2</v>
      </c>
      <c r="AB60" s="29">
        <f t="shared" si="4"/>
        <v>8</v>
      </c>
      <c r="AC60" s="29">
        <f t="shared" si="5"/>
        <v>7</v>
      </c>
      <c r="AD60" s="29" t="str">
        <f t="shared" si="6"/>
        <v/>
      </c>
      <c r="AE60" s="29" t="str">
        <f t="shared" si="7"/>
        <v/>
      </c>
      <c r="AF60" s="29" t="str">
        <f t="shared" si="8"/>
        <v/>
      </c>
      <c r="AG60" s="27">
        <v>10</v>
      </c>
      <c r="AH60" s="27">
        <v>7</v>
      </c>
      <c r="AI60" s="27">
        <v>0</v>
      </c>
      <c r="AJ60" s="23" t="s">
        <v>401</v>
      </c>
      <c r="AK60" s="23" t="s">
        <v>403</v>
      </c>
      <c r="AN60" s="31" t="str">
        <f t="shared" si="42"/>
        <v>3 doors</v>
      </c>
      <c r="AO60" s="23" t="s">
        <v>394</v>
      </c>
      <c r="AP60" s="23" t="s">
        <v>72</v>
      </c>
      <c r="AQ60" s="23" t="s">
        <v>191</v>
      </c>
      <c r="AR60" s="34">
        <f t="shared" si="43"/>
        <v>2204.02</v>
      </c>
      <c r="AS60" s="23">
        <v>22</v>
      </c>
      <c r="AT60" s="23">
        <v>4</v>
      </c>
      <c r="AU60" s="23">
        <v>2</v>
      </c>
    </row>
    <row r="61" spans="1:47">
      <c r="A61" s="23" t="s">
        <v>398</v>
      </c>
      <c r="B61" s="23" t="s">
        <v>372</v>
      </c>
      <c r="C61" s="23">
        <v>4</v>
      </c>
      <c r="E61" s="23" t="s">
        <v>61</v>
      </c>
      <c r="G61" s="27">
        <v>1999</v>
      </c>
      <c r="H61" s="27">
        <v>20</v>
      </c>
      <c r="I61" s="27">
        <v>25</v>
      </c>
      <c r="J61" s="27">
        <v>20</v>
      </c>
      <c r="K61" s="27">
        <v>10</v>
      </c>
      <c r="L61" s="27">
        <v>10</v>
      </c>
      <c r="M61" s="27">
        <v>10</v>
      </c>
      <c r="N61" s="27">
        <v>10</v>
      </c>
      <c r="P61" s="28">
        <f t="shared" si="0"/>
        <v>40</v>
      </c>
      <c r="Q61" s="28">
        <f t="shared" si="1"/>
        <v>10.657142857142857</v>
      </c>
      <c r="R61" s="28">
        <f t="shared" si="2"/>
        <v>4.6811428571428575</v>
      </c>
      <c r="S61" s="27">
        <v>70</v>
      </c>
      <c r="T61" s="29">
        <f t="shared" si="32"/>
        <v>0</v>
      </c>
      <c r="V61" s="27">
        <v>13</v>
      </c>
      <c r="W61" s="27">
        <v>147</v>
      </c>
      <c r="X61" s="29">
        <f t="shared" si="10"/>
        <v>200</v>
      </c>
      <c r="Y61" s="27" t="s">
        <v>69</v>
      </c>
      <c r="Z61" s="27" t="s">
        <v>315</v>
      </c>
      <c r="AA61" s="29">
        <f t="shared" si="3"/>
        <v>2</v>
      </c>
      <c r="AB61" s="29">
        <f t="shared" si="4"/>
        <v>8</v>
      </c>
      <c r="AC61" s="29">
        <f t="shared" si="5"/>
        <v>7</v>
      </c>
      <c r="AD61" s="29" t="str">
        <f t="shared" si="6"/>
        <v/>
      </c>
      <c r="AE61" s="29" t="str">
        <f t="shared" si="7"/>
        <v/>
      </c>
      <c r="AF61" s="29" t="str">
        <f t="shared" si="8"/>
        <v/>
      </c>
      <c r="AG61" s="27">
        <v>10</v>
      </c>
      <c r="AH61" s="27">
        <v>7</v>
      </c>
      <c r="AI61" s="27">
        <v>0</v>
      </c>
      <c r="AJ61" s="23" t="s">
        <v>401</v>
      </c>
      <c r="AK61" s="23" t="s">
        <v>403</v>
      </c>
      <c r="AN61" s="31" t="str">
        <f t="shared" si="42"/>
        <v>4 doors</v>
      </c>
      <c r="AO61" s="23" t="s">
        <v>394</v>
      </c>
      <c r="AP61" s="23" t="s">
        <v>71</v>
      </c>
      <c r="AQ61" s="23" t="s">
        <v>78</v>
      </c>
      <c r="AR61" s="34">
        <f t="shared" si="43"/>
        <v>2206</v>
      </c>
      <c r="AS61" s="23">
        <v>22</v>
      </c>
      <c r="AT61" s="23">
        <v>6</v>
      </c>
      <c r="AU61" s="23">
        <v>0</v>
      </c>
    </row>
    <row r="62" spans="1:47">
      <c r="A62" s="23" t="s">
        <v>429</v>
      </c>
      <c r="B62" s="23" t="s">
        <v>372</v>
      </c>
      <c r="C62" s="23">
        <v>4</v>
      </c>
      <c r="E62" s="23" t="s">
        <v>60</v>
      </c>
      <c r="F62" s="23" t="s">
        <v>430</v>
      </c>
      <c r="G62" s="27">
        <v>1984</v>
      </c>
      <c r="H62" s="27">
        <v>20</v>
      </c>
      <c r="I62" s="27">
        <v>25</v>
      </c>
      <c r="J62" s="27">
        <v>20</v>
      </c>
      <c r="K62" s="27">
        <v>12</v>
      </c>
      <c r="L62" s="27">
        <v>12</v>
      </c>
      <c r="M62" s="27">
        <v>12</v>
      </c>
      <c r="N62" s="27">
        <v>6</v>
      </c>
      <c r="P62" s="28">
        <f t="shared" ref="P62" si="44">SUM(K62:O62)</f>
        <v>42</v>
      </c>
      <c r="Q62" s="28">
        <f t="shared" ref="Q62" si="45">IF(OR(E62="diesel", E62="petrol"), ((V62+(T62/10))/2)+(P62/14), IF(OR(E62="cng", E62="hybrid"), ((V62+(T62/10))/2*1.2)+(P62/14), IF(OR(E62="hydrogen", E62="electric"), ((V62+(T62/10))/2*1.5)+(P62/14), 0)))</f>
        <v>21.832000000000001</v>
      </c>
      <c r="R62" s="28">
        <f t="shared" ref="R62" si="46">IF(E62="petrol", ((V62+(W62/15)+T62)/10*1.5)+(P62/14), IF(E62="diesel", ((V62+(W62/15)+T62)/10)+(P62/14), IF(OR(E62="cng", E62="hybrid"), ((V62+(W62/15)+T62)/10*0.8)+(P62/14), IF(OR(E62="hydrogen", E62="electric"), ((V62+(W62/15)+T62)/10*0.5)+(P62/14), 0))))</f>
        <v>29.29066666666667</v>
      </c>
      <c r="S62" s="27">
        <v>63</v>
      </c>
      <c r="T62" s="29">
        <f t="shared" si="32"/>
        <v>236.64000000000001</v>
      </c>
      <c r="U62" s="27">
        <v>174</v>
      </c>
      <c r="V62" s="27">
        <v>14</v>
      </c>
      <c r="W62" s="27">
        <v>184</v>
      </c>
      <c r="X62" s="29">
        <f t="shared" si="10"/>
        <v>200</v>
      </c>
      <c r="Y62" s="27" t="s">
        <v>69</v>
      </c>
      <c r="Z62" s="27" t="s">
        <v>315</v>
      </c>
      <c r="AA62" s="29">
        <f t="shared" si="3"/>
        <v>2</v>
      </c>
      <c r="AB62" s="29">
        <f t="shared" si="4"/>
        <v>8</v>
      </c>
      <c r="AC62" s="29">
        <f t="shared" si="5"/>
        <v>8</v>
      </c>
      <c r="AD62" s="29" t="str">
        <f t="shared" si="6"/>
        <v/>
      </c>
      <c r="AE62" s="29" t="str">
        <f t="shared" si="7"/>
        <v/>
      </c>
      <c r="AF62" s="29" t="str">
        <f t="shared" si="8"/>
        <v/>
      </c>
      <c r="AG62" s="27">
        <v>10</v>
      </c>
      <c r="AH62" s="27">
        <v>8</v>
      </c>
      <c r="AI62" s="27">
        <v>0</v>
      </c>
      <c r="AJ62" s="23" t="s">
        <v>401</v>
      </c>
      <c r="AK62" s="23" t="s">
        <v>429</v>
      </c>
      <c r="AN62" s="31" t="str">
        <f t="shared" si="42"/>
        <v>4 doors</v>
      </c>
      <c r="AO62" s="23" t="s">
        <v>85</v>
      </c>
      <c r="AP62" s="23" t="s">
        <v>71</v>
      </c>
      <c r="AQ62" s="23" t="s">
        <v>78</v>
      </c>
      <c r="AR62" s="34">
        <f t="shared" si="43"/>
        <v>2220</v>
      </c>
      <c r="AS62" s="23">
        <v>22</v>
      </c>
      <c r="AT62" s="23">
        <v>20</v>
      </c>
      <c r="AU62" s="23">
        <v>0</v>
      </c>
    </row>
    <row r="63" spans="1:47">
      <c r="A63" s="23" t="s">
        <v>429</v>
      </c>
      <c r="B63" s="23" t="s">
        <v>372</v>
      </c>
      <c r="C63" s="23">
        <v>4</v>
      </c>
      <c r="E63" s="23" t="s">
        <v>60</v>
      </c>
      <c r="F63" s="23" t="s">
        <v>430</v>
      </c>
      <c r="G63" s="27">
        <v>1984</v>
      </c>
      <c r="H63" s="27">
        <v>20</v>
      </c>
      <c r="I63" s="27">
        <v>25</v>
      </c>
      <c r="J63" s="27">
        <v>20</v>
      </c>
      <c r="K63" s="27">
        <v>12</v>
      </c>
      <c r="L63" s="27">
        <v>12</v>
      </c>
      <c r="M63" s="27">
        <v>12</v>
      </c>
      <c r="N63" s="27">
        <v>6</v>
      </c>
      <c r="P63" s="28">
        <f t="shared" ref="P63" si="47">SUM(K63:O63)</f>
        <v>42</v>
      </c>
      <c r="Q63" s="28">
        <f t="shared" ref="Q63" si="48">IF(OR(E63="diesel", E63="petrol"), ((V63+(T63/10))/2)+(P63/14), IF(OR(E63="cng", E63="hybrid"), ((V63+(T63/10))/2*1.2)+(P63/14), IF(OR(E63="hydrogen", E63="electric"), ((V63+(T63/10))/2*1.5)+(P63/14), 0)))</f>
        <v>21.832000000000001</v>
      </c>
      <c r="R63" s="28">
        <f t="shared" ref="R63" si="49">IF(E63="petrol", ((V63+(W63/15)+T63)/10*1.5)+(P63/14), IF(E63="diesel", ((V63+(W63/15)+T63)/10)+(P63/14), IF(OR(E63="cng", E63="hybrid"), ((V63+(W63/15)+T63)/10*0.8)+(P63/14), IF(OR(E63="hydrogen", E63="electric"), ((V63+(W63/15)+T63)/10*0.5)+(P63/14), 0))))</f>
        <v>29.29066666666667</v>
      </c>
      <c r="S63" s="27">
        <v>63</v>
      </c>
      <c r="T63" s="29">
        <f t="shared" ref="T63" si="50">U63*1.36</f>
        <v>236.64000000000001</v>
      </c>
      <c r="U63" s="27">
        <v>174</v>
      </c>
      <c r="V63" s="27">
        <v>14</v>
      </c>
      <c r="W63" s="27">
        <v>184</v>
      </c>
      <c r="X63" s="29">
        <f t="shared" ref="X63" si="51">IF(AP63="Regional", 185, IF(AP63="Intercity", 150, IF(AP63="Tourist", 100, 200)))</f>
        <v>200</v>
      </c>
      <c r="Y63" s="27" t="s">
        <v>102</v>
      </c>
      <c r="Z63" s="27" t="s">
        <v>316</v>
      </c>
      <c r="AA63" s="29">
        <f t="shared" ref="AA63" si="52">IF(AG63&gt;8, AG63-8, AG63)</f>
        <v>2</v>
      </c>
      <c r="AB63" s="29">
        <f t="shared" ref="AB63" si="53">IF(AG63&gt;8, 8, "")</f>
        <v>8</v>
      </c>
      <c r="AC63" s="29">
        <f t="shared" ref="AC63" si="54">IF(AH63&gt;8, AH63-8, IF(AH63=0, "", AH63))</f>
        <v>8</v>
      </c>
      <c r="AD63" s="29" t="str">
        <f t="shared" ref="AD63" si="55">IF(AH63&gt;8, 8, "")</f>
        <v/>
      </c>
      <c r="AE63" s="29" t="str">
        <f t="shared" ref="AE63" si="56">IF(AI63&gt;8, AI63-8, IF(AI63=0, "", AI63))</f>
        <v/>
      </c>
      <c r="AF63" s="29" t="str">
        <f t="shared" ref="AF63" si="57">IF(AI63&gt;8, 8, "")</f>
        <v/>
      </c>
      <c r="AG63" s="27">
        <v>10</v>
      </c>
      <c r="AH63" s="27">
        <v>8</v>
      </c>
      <c r="AI63" s="27">
        <v>0</v>
      </c>
      <c r="AJ63" s="23" t="s">
        <v>401</v>
      </c>
      <c r="AK63" s="23" t="s">
        <v>429</v>
      </c>
      <c r="AN63" s="31" t="str">
        <f t="shared" ref="AN63" si="58">IF(O63&gt;0, "5 doors", IF(N63&gt;0, "4 doors", IF(M63&gt;0, "3 doors", IF(L63&gt;0, "2 doors", "1 door"))))</f>
        <v>4 doors</v>
      </c>
      <c r="AO63" s="23" t="s">
        <v>85</v>
      </c>
      <c r="AP63" s="23" t="s">
        <v>71</v>
      </c>
      <c r="AQ63" s="23" t="s">
        <v>78</v>
      </c>
      <c r="AR63" s="34">
        <f t="shared" ref="AR63" si="59">(AS63*100)+AT63+(AU63/100)</f>
        <v>2220.0100000000002</v>
      </c>
      <c r="AS63" s="23">
        <v>22</v>
      </c>
      <c r="AT63" s="23">
        <v>20</v>
      </c>
      <c r="AU63" s="23">
        <v>1</v>
      </c>
    </row>
    <row r="64" spans="1:47">
      <c r="A64" s="26" t="s">
        <v>175</v>
      </c>
      <c r="B64" s="23" t="s">
        <v>55</v>
      </c>
      <c r="C64" s="23">
        <v>2</v>
      </c>
      <c r="E64" s="23" t="s">
        <v>60</v>
      </c>
      <c r="F64" s="23" t="s">
        <v>185</v>
      </c>
      <c r="G64" s="27">
        <v>1991</v>
      </c>
      <c r="H64" s="27">
        <v>20</v>
      </c>
      <c r="I64" s="27">
        <v>25</v>
      </c>
      <c r="J64" s="27">
        <v>20</v>
      </c>
      <c r="K64" s="27">
        <v>4</v>
      </c>
      <c r="L64" s="27">
        <v>4</v>
      </c>
      <c r="P64" s="28">
        <f t="shared" si="0"/>
        <v>8</v>
      </c>
      <c r="Q64" s="28">
        <f t="shared" si="1"/>
        <v>20.555428571428575</v>
      </c>
      <c r="R64" s="28">
        <f t="shared" si="2"/>
        <v>30.959428571428571</v>
      </c>
      <c r="S64" s="27">
        <v>110</v>
      </c>
      <c r="T64" s="29">
        <f t="shared" si="32"/>
        <v>289.68</v>
      </c>
      <c r="U64" s="27">
        <v>213</v>
      </c>
      <c r="V64" s="27">
        <v>11</v>
      </c>
      <c r="W64" s="27">
        <v>48</v>
      </c>
      <c r="X64" s="29">
        <f t="shared" si="10"/>
        <v>200</v>
      </c>
      <c r="Y64" s="27" t="s">
        <v>69</v>
      </c>
      <c r="Z64" s="27" t="s">
        <v>69</v>
      </c>
      <c r="AA64" s="29">
        <f t="shared" si="3"/>
        <v>4</v>
      </c>
      <c r="AB64" s="29">
        <f t="shared" si="4"/>
        <v>8</v>
      </c>
      <c r="AC64" s="29" t="str">
        <f t="shared" si="5"/>
        <v/>
      </c>
      <c r="AD64" s="29" t="str">
        <f t="shared" si="6"/>
        <v/>
      </c>
      <c r="AE64" s="29" t="str">
        <f t="shared" si="7"/>
        <v/>
      </c>
      <c r="AF64" s="29" t="str">
        <f t="shared" si="8"/>
        <v/>
      </c>
      <c r="AG64" s="27">
        <v>12</v>
      </c>
      <c r="AH64" s="27">
        <v>0</v>
      </c>
      <c r="AI64" s="27">
        <v>0</v>
      </c>
      <c r="AJ64" s="23" t="s">
        <v>184</v>
      </c>
      <c r="AK64" s="23" t="s">
        <v>175</v>
      </c>
      <c r="AN64" s="31" t="str">
        <f t="shared" si="42"/>
        <v>2 doors</v>
      </c>
      <c r="AO64" s="23" t="s">
        <v>66</v>
      </c>
      <c r="AP64" s="23" t="s">
        <v>71</v>
      </c>
      <c r="AQ64" s="23" t="s">
        <v>78</v>
      </c>
      <c r="AR64" s="34">
        <f t="shared" si="43"/>
        <v>3000</v>
      </c>
      <c r="AS64" s="23">
        <v>30</v>
      </c>
      <c r="AT64" s="23">
        <v>0</v>
      </c>
      <c r="AU64" s="23">
        <v>0</v>
      </c>
    </row>
    <row r="65" spans="1:47">
      <c r="A65" s="26" t="s">
        <v>175</v>
      </c>
      <c r="B65" s="23" t="s">
        <v>55</v>
      </c>
      <c r="C65" s="23">
        <v>2</v>
      </c>
      <c r="E65" s="23" t="s">
        <v>60</v>
      </c>
      <c r="F65" s="23" t="s">
        <v>185</v>
      </c>
      <c r="G65" s="27">
        <v>1991</v>
      </c>
      <c r="H65" s="27">
        <v>20</v>
      </c>
      <c r="I65" s="27">
        <v>25</v>
      </c>
      <c r="J65" s="27">
        <v>20</v>
      </c>
      <c r="K65" s="27">
        <v>4</v>
      </c>
      <c r="L65" s="27">
        <v>4</v>
      </c>
      <c r="P65" s="28">
        <f t="shared" si="0"/>
        <v>8</v>
      </c>
      <c r="Q65" s="28">
        <f t="shared" si="1"/>
        <v>20.555428571428575</v>
      </c>
      <c r="R65" s="28">
        <f t="shared" si="2"/>
        <v>30.959428571428571</v>
      </c>
      <c r="S65" s="27">
        <v>110</v>
      </c>
      <c r="T65" s="29">
        <f t="shared" si="32"/>
        <v>289.68</v>
      </c>
      <c r="U65" s="27">
        <v>213</v>
      </c>
      <c r="V65" s="27">
        <v>11</v>
      </c>
      <c r="W65" s="27">
        <v>48</v>
      </c>
      <c r="X65" s="29">
        <f t="shared" si="10"/>
        <v>200</v>
      </c>
      <c r="Y65" s="27" t="s">
        <v>102</v>
      </c>
      <c r="Z65" s="27" t="s">
        <v>102</v>
      </c>
      <c r="AA65" s="29">
        <f t="shared" si="3"/>
        <v>4</v>
      </c>
      <c r="AB65" s="29">
        <f t="shared" si="4"/>
        <v>8</v>
      </c>
      <c r="AC65" s="29" t="str">
        <f t="shared" si="5"/>
        <v/>
      </c>
      <c r="AD65" s="29" t="str">
        <f t="shared" si="6"/>
        <v/>
      </c>
      <c r="AE65" s="29" t="str">
        <f t="shared" si="7"/>
        <v/>
      </c>
      <c r="AF65" s="29" t="str">
        <f t="shared" si="8"/>
        <v/>
      </c>
      <c r="AG65" s="27">
        <v>12</v>
      </c>
      <c r="AH65" s="27">
        <v>0</v>
      </c>
      <c r="AI65" s="27">
        <v>0</v>
      </c>
      <c r="AJ65" s="23" t="s">
        <v>184</v>
      </c>
      <c r="AK65" s="23" t="s">
        <v>175</v>
      </c>
      <c r="AN65" s="31" t="str">
        <f t="shared" si="42"/>
        <v>2 doors</v>
      </c>
      <c r="AO65" s="23" t="s">
        <v>66</v>
      </c>
      <c r="AP65" s="23" t="s">
        <v>71</v>
      </c>
      <c r="AQ65" s="23" t="s">
        <v>78</v>
      </c>
      <c r="AR65" s="34">
        <f t="shared" si="43"/>
        <v>3000.01</v>
      </c>
      <c r="AS65" s="23">
        <v>30</v>
      </c>
      <c r="AT65" s="23">
        <v>0</v>
      </c>
      <c r="AU65" s="23">
        <v>1</v>
      </c>
    </row>
    <row r="66" spans="1:47">
      <c r="A66" s="26" t="s">
        <v>175</v>
      </c>
      <c r="B66" s="23" t="s">
        <v>55</v>
      </c>
      <c r="C66" s="23">
        <v>2</v>
      </c>
      <c r="E66" s="23" t="s">
        <v>60</v>
      </c>
      <c r="F66" s="23" t="s">
        <v>185</v>
      </c>
      <c r="G66" s="27">
        <v>1991</v>
      </c>
      <c r="H66" s="27">
        <v>20</v>
      </c>
      <c r="I66" s="27">
        <v>25</v>
      </c>
      <c r="J66" s="27">
        <v>20</v>
      </c>
      <c r="K66" s="27">
        <v>4</v>
      </c>
      <c r="L66" s="27">
        <v>4</v>
      </c>
      <c r="P66" s="28">
        <f t="shared" si="0"/>
        <v>8</v>
      </c>
      <c r="Q66" s="28">
        <f t="shared" si="1"/>
        <v>20.555428571428575</v>
      </c>
      <c r="R66" s="28">
        <f t="shared" si="2"/>
        <v>30.959428571428571</v>
      </c>
      <c r="S66" s="27">
        <v>110</v>
      </c>
      <c r="T66" s="29">
        <f t="shared" si="32"/>
        <v>289.68</v>
      </c>
      <c r="U66" s="27">
        <v>213</v>
      </c>
      <c r="V66" s="27">
        <v>11</v>
      </c>
      <c r="W66" s="27">
        <v>48</v>
      </c>
      <c r="X66" s="29">
        <f t="shared" si="10"/>
        <v>200</v>
      </c>
      <c r="Y66" s="27" t="s">
        <v>186</v>
      </c>
      <c r="Z66" s="27" t="s">
        <v>186</v>
      </c>
      <c r="AA66" s="29">
        <f t="shared" si="3"/>
        <v>4</v>
      </c>
      <c r="AB66" s="29">
        <f t="shared" si="4"/>
        <v>8</v>
      </c>
      <c r="AC66" s="29" t="str">
        <f t="shared" si="5"/>
        <v/>
      </c>
      <c r="AD66" s="29" t="str">
        <f t="shared" si="6"/>
        <v/>
      </c>
      <c r="AE66" s="29" t="str">
        <f t="shared" si="7"/>
        <v/>
      </c>
      <c r="AF66" s="29" t="str">
        <f t="shared" si="8"/>
        <v/>
      </c>
      <c r="AG66" s="27">
        <v>12</v>
      </c>
      <c r="AH66" s="27">
        <v>0</v>
      </c>
      <c r="AI66" s="27">
        <v>0</v>
      </c>
      <c r="AJ66" s="23" t="s">
        <v>184</v>
      </c>
      <c r="AK66" s="23" t="s">
        <v>175</v>
      </c>
      <c r="AN66" s="31" t="str">
        <f t="shared" si="42"/>
        <v>2 doors</v>
      </c>
      <c r="AO66" s="23" t="s">
        <v>66</v>
      </c>
      <c r="AP66" s="23" t="s">
        <v>71</v>
      </c>
      <c r="AQ66" s="23" t="s">
        <v>78</v>
      </c>
      <c r="AR66" s="34">
        <f t="shared" si="43"/>
        <v>3000.02</v>
      </c>
      <c r="AS66" s="23">
        <v>30</v>
      </c>
      <c r="AT66" s="23">
        <v>0</v>
      </c>
      <c r="AU66" s="23">
        <v>2</v>
      </c>
    </row>
    <row r="67" spans="1:47">
      <c r="A67" s="26" t="s">
        <v>205</v>
      </c>
      <c r="B67" s="23">
        <v>9.5</v>
      </c>
      <c r="C67" s="23">
        <v>3</v>
      </c>
      <c r="E67" s="23" t="s">
        <v>60</v>
      </c>
      <c r="F67" s="23" t="s">
        <v>193</v>
      </c>
      <c r="G67" s="27">
        <v>2000</v>
      </c>
      <c r="H67" s="27">
        <v>20</v>
      </c>
      <c r="I67" s="27">
        <v>25</v>
      </c>
      <c r="J67" s="27">
        <v>20</v>
      </c>
      <c r="K67" s="27">
        <v>5</v>
      </c>
      <c r="L67" s="27">
        <v>12</v>
      </c>
      <c r="M67" s="27">
        <v>5</v>
      </c>
      <c r="P67" s="28">
        <f t="shared" si="0"/>
        <v>22</v>
      </c>
      <c r="Q67" s="28">
        <f t="shared" si="1"/>
        <v>17.539428571428573</v>
      </c>
      <c r="R67" s="28">
        <f t="shared" si="2"/>
        <v>26.834095238095241</v>
      </c>
      <c r="S67" s="27">
        <v>80</v>
      </c>
      <c r="T67" s="29">
        <f t="shared" si="32"/>
        <v>239.36</v>
      </c>
      <c r="U67" s="27">
        <v>176</v>
      </c>
      <c r="V67" s="27">
        <v>8</v>
      </c>
      <c r="W67" s="27">
        <v>79</v>
      </c>
      <c r="X67" s="29">
        <f t="shared" si="10"/>
        <v>200</v>
      </c>
      <c r="Y67" s="27" t="s">
        <v>69</v>
      </c>
      <c r="Z67" s="27" t="s">
        <v>69</v>
      </c>
      <c r="AA67" s="29">
        <f t="shared" si="3"/>
        <v>2</v>
      </c>
      <c r="AB67" s="29">
        <f t="shared" si="4"/>
        <v>8</v>
      </c>
      <c r="AC67" s="29" t="str">
        <f t="shared" si="5"/>
        <v/>
      </c>
      <c r="AD67" s="29" t="str">
        <f t="shared" si="6"/>
        <v/>
      </c>
      <c r="AE67" s="29" t="str">
        <f t="shared" si="7"/>
        <v/>
      </c>
      <c r="AF67" s="29" t="str">
        <f t="shared" si="8"/>
        <v/>
      </c>
      <c r="AG67" s="27">
        <v>10</v>
      </c>
      <c r="AH67" s="27">
        <v>0</v>
      </c>
      <c r="AI67" s="27">
        <v>0</v>
      </c>
      <c r="AJ67" s="23" t="s">
        <v>184</v>
      </c>
      <c r="AK67" s="23" t="s">
        <v>205</v>
      </c>
      <c r="AL67" s="30">
        <v>9.5</v>
      </c>
      <c r="AN67" s="31" t="str">
        <f t="shared" si="42"/>
        <v>3 doors</v>
      </c>
      <c r="AO67" s="23" t="s">
        <v>212</v>
      </c>
      <c r="AP67" s="23" t="s">
        <v>71</v>
      </c>
      <c r="AQ67" s="23" t="s">
        <v>78</v>
      </c>
      <c r="AR67" s="34">
        <f t="shared" si="43"/>
        <v>4000</v>
      </c>
      <c r="AS67" s="23">
        <v>40</v>
      </c>
      <c r="AT67" s="23">
        <v>0</v>
      </c>
      <c r="AU67" s="23">
        <v>0</v>
      </c>
    </row>
    <row r="68" spans="1:47">
      <c r="A68" s="26" t="s">
        <v>205</v>
      </c>
      <c r="B68" s="23">
        <v>11</v>
      </c>
      <c r="C68" s="23">
        <v>3</v>
      </c>
      <c r="E68" s="23" t="s">
        <v>60</v>
      </c>
      <c r="F68" s="23" t="s">
        <v>196</v>
      </c>
      <c r="G68" s="27">
        <v>2002</v>
      </c>
      <c r="H68" s="27">
        <v>20</v>
      </c>
      <c r="I68" s="27">
        <v>25</v>
      </c>
      <c r="J68" s="27">
        <v>20</v>
      </c>
      <c r="K68" s="27">
        <v>5</v>
      </c>
      <c r="L68" s="27">
        <v>12</v>
      </c>
      <c r="M68" s="27">
        <v>5</v>
      </c>
      <c r="P68" s="28">
        <f t="shared" si="0"/>
        <v>22</v>
      </c>
      <c r="Q68" s="28">
        <f t="shared" si="1"/>
        <v>17.539428571428573</v>
      </c>
      <c r="R68" s="28">
        <f t="shared" si="2"/>
        <v>26.920761904761907</v>
      </c>
      <c r="S68" s="27">
        <v>80</v>
      </c>
      <c r="T68" s="29">
        <f t="shared" si="32"/>
        <v>239.36</v>
      </c>
      <c r="U68" s="27">
        <v>176</v>
      </c>
      <c r="V68" s="27">
        <v>8</v>
      </c>
      <c r="W68" s="27">
        <v>92</v>
      </c>
      <c r="X68" s="29">
        <f t="shared" si="10"/>
        <v>200</v>
      </c>
      <c r="Y68" s="27" t="s">
        <v>69</v>
      </c>
      <c r="Z68" s="27" t="s">
        <v>69</v>
      </c>
      <c r="AA68" s="29">
        <f t="shared" si="3"/>
        <v>3</v>
      </c>
      <c r="AB68" s="29">
        <f t="shared" si="4"/>
        <v>8</v>
      </c>
      <c r="AC68" s="29" t="str">
        <f t="shared" si="5"/>
        <v/>
      </c>
      <c r="AD68" s="29" t="str">
        <f t="shared" si="6"/>
        <v/>
      </c>
      <c r="AE68" s="29" t="str">
        <f t="shared" si="7"/>
        <v/>
      </c>
      <c r="AF68" s="29" t="str">
        <f t="shared" si="8"/>
        <v/>
      </c>
      <c r="AG68" s="27">
        <v>11</v>
      </c>
      <c r="AH68" s="27">
        <v>0</v>
      </c>
      <c r="AI68" s="27">
        <v>0</v>
      </c>
      <c r="AJ68" s="23" t="s">
        <v>184</v>
      </c>
      <c r="AK68" s="23" t="s">
        <v>205</v>
      </c>
      <c r="AL68" s="30">
        <v>11</v>
      </c>
      <c r="AN68" s="31" t="str">
        <f t="shared" si="42"/>
        <v>3 doors</v>
      </c>
      <c r="AO68" s="23" t="s">
        <v>213</v>
      </c>
      <c r="AP68" s="23" t="s">
        <v>71</v>
      </c>
      <c r="AQ68" s="23" t="s">
        <v>78</v>
      </c>
      <c r="AR68" s="34">
        <f t="shared" si="43"/>
        <v>4001</v>
      </c>
      <c r="AS68" s="23">
        <v>40</v>
      </c>
      <c r="AT68" s="23">
        <v>1</v>
      </c>
      <c r="AU68" s="23">
        <v>0</v>
      </c>
    </row>
    <row r="69" spans="1:47">
      <c r="A69" s="26" t="s">
        <v>215</v>
      </c>
      <c r="B69" s="23">
        <v>9.5</v>
      </c>
      <c r="C69" s="23">
        <v>2</v>
      </c>
      <c r="E69" s="23" t="s">
        <v>60</v>
      </c>
      <c r="H69" s="27">
        <v>20</v>
      </c>
      <c r="I69" s="27">
        <v>25</v>
      </c>
      <c r="J69" s="27">
        <v>20</v>
      </c>
      <c r="P69" s="28">
        <f t="shared" si="0"/>
        <v>0</v>
      </c>
      <c r="Q69" s="28">
        <f t="shared" si="1"/>
        <v>16.404250000000001</v>
      </c>
      <c r="R69" s="28">
        <f t="shared" si="2"/>
        <v>26.161833333333334</v>
      </c>
      <c r="S69" s="27">
        <v>80</v>
      </c>
      <c r="T69" s="29">
        <f>U69*1.341</f>
        <v>248.08500000000001</v>
      </c>
      <c r="U69" s="27">
        <v>185</v>
      </c>
      <c r="V69" s="27">
        <v>8</v>
      </c>
      <c r="W69" s="27">
        <v>83</v>
      </c>
      <c r="X69" s="29">
        <f t="shared" si="10"/>
        <v>200</v>
      </c>
      <c r="Y69" s="27" t="s">
        <v>69</v>
      </c>
      <c r="Z69" s="27" t="s">
        <v>69</v>
      </c>
      <c r="AA69" s="29">
        <f t="shared" si="3"/>
        <v>8</v>
      </c>
      <c r="AB69" s="29" t="str">
        <f t="shared" si="4"/>
        <v/>
      </c>
      <c r="AC69" s="29" t="str">
        <f t="shared" si="5"/>
        <v/>
      </c>
      <c r="AD69" s="29" t="str">
        <f t="shared" si="6"/>
        <v/>
      </c>
      <c r="AE69" s="29" t="str">
        <f t="shared" si="7"/>
        <v/>
      </c>
      <c r="AF69" s="29" t="str">
        <f t="shared" si="8"/>
        <v/>
      </c>
      <c r="AG69" s="27">
        <v>8</v>
      </c>
      <c r="AH69" s="27">
        <v>0</v>
      </c>
      <c r="AI69" s="27">
        <v>0</v>
      </c>
      <c r="AJ69" s="23" t="s">
        <v>184</v>
      </c>
      <c r="AN69" s="31" t="str">
        <f>C69 &amp; " doors"</f>
        <v>2 doors</v>
      </c>
      <c r="AP69" s="23" t="s">
        <v>71</v>
      </c>
      <c r="AQ69" s="23" t="s">
        <v>78</v>
      </c>
      <c r="AR69" s="32">
        <f t="shared" si="43"/>
        <v>4002</v>
      </c>
      <c r="AS69" s="23">
        <v>40</v>
      </c>
      <c r="AT69" s="23">
        <v>2</v>
      </c>
      <c r="AU69" s="23">
        <v>0</v>
      </c>
    </row>
    <row r="70" spans="1:47">
      <c r="A70" s="26" t="s">
        <v>216</v>
      </c>
      <c r="B70" s="23">
        <v>12</v>
      </c>
      <c r="C70" s="23">
        <v>3</v>
      </c>
      <c r="E70" s="23" t="s">
        <v>60</v>
      </c>
      <c r="G70" s="27">
        <v>2005</v>
      </c>
      <c r="H70" s="27">
        <v>20</v>
      </c>
      <c r="I70" s="27">
        <v>25</v>
      </c>
      <c r="J70" s="27">
        <v>20</v>
      </c>
      <c r="P70" s="28">
        <f t="shared" si="0"/>
        <v>0</v>
      </c>
      <c r="Q70" s="28">
        <f t="shared" si="1"/>
        <v>17.5077</v>
      </c>
      <c r="R70" s="28">
        <f t="shared" si="2"/>
        <v>27.622066666666665</v>
      </c>
      <c r="S70" s="27">
        <v>80</v>
      </c>
      <c r="T70" s="29">
        <f>U70*1.341</f>
        <v>260.154</v>
      </c>
      <c r="U70" s="27">
        <v>194</v>
      </c>
      <c r="V70" s="27">
        <v>9</v>
      </c>
      <c r="W70" s="27">
        <v>106</v>
      </c>
      <c r="X70" s="29">
        <f t="shared" si="10"/>
        <v>200</v>
      </c>
      <c r="Y70" s="27" t="s">
        <v>69</v>
      </c>
      <c r="Z70" s="27" t="s">
        <v>69</v>
      </c>
      <c r="AA70" s="29">
        <f t="shared" si="3"/>
        <v>4</v>
      </c>
      <c r="AB70" s="29">
        <f t="shared" si="4"/>
        <v>8</v>
      </c>
      <c r="AC70" s="29" t="str">
        <f t="shared" si="5"/>
        <v/>
      </c>
      <c r="AD70" s="29" t="str">
        <f t="shared" si="6"/>
        <v/>
      </c>
      <c r="AE70" s="29" t="str">
        <f t="shared" si="7"/>
        <v/>
      </c>
      <c r="AF70" s="29" t="str">
        <f t="shared" si="8"/>
        <v/>
      </c>
      <c r="AG70" s="27">
        <v>12</v>
      </c>
      <c r="AH70" s="27">
        <v>0</v>
      </c>
      <c r="AI70" s="27">
        <v>0</v>
      </c>
      <c r="AJ70" s="23" t="s">
        <v>184</v>
      </c>
      <c r="AN70" s="31" t="str">
        <f>C70 &amp; " doors"</f>
        <v>3 doors</v>
      </c>
      <c r="AP70" s="23" t="s">
        <v>71</v>
      </c>
      <c r="AQ70" s="23" t="s">
        <v>78</v>
      </c>
      <c r="AR70" s="32">
        <f t="shared" si="43"/>
        <v>4003</v>
      </c>
      <c r="AS70" s="23">
        <v>40</v>
      </c>
      <c r="AT70" s="23">
        <v>3</v>
      </c>
      <c r="AU70" s="23">
        <v>0</v>
      </c>
    </row>
    <row r="71" spans="1:47">
      <c r="A71" s="26" t="s">
        <v>216</v>
      </c>
      <c r="B71" s="23">
        <v>18</v>
      </c>
      <c r="C71" s="23">
        <v>4</v>
      </c>
      <c r="E71" s="23" t="s">
        <v>60</v>
      </c>
      <c r="H71" s="27">
        <v>20</v>
      </c>
      <c r="I71" s="27">
        <v>25</v>
      </c>
      <c r="J71" s="27">
        <v>20</v>
      </c>
      <c r="P71" s="28">
        <f t="shared" si="0"/>
        <v>0</v>
      </c>
      <c r="Q71" s="28">
        <f t="shared" si="1"/>
        <v>21.0077</v>
      </c>
      <c r="R71" s="28">
        <f t="shared" si="2"/>
        <v>28.74873333333333</v>
      </c>
      <c r="S71" s="27">
        <v>80</v>
      </c>
      <c r="T71" s="29">
        <f>U71*1.341</f>
        <v>260.154</v>
      </c>
      <c r="U71" s="27">
        <v>194</v>
      </c>
      <c r="V71" s="27">
        <v>16</v>
      </c>
      <c r="W71" s="27">
        <v>170</v>
      </c>
      <c r="X71" s="29">
        <f t="shared" si="10"/>
        <v>200</v>
      </c>
      <c r="Y71" s="27" t="s">
        <v>69</v>
      </c>
      <c r="Z71" s="27" t="s">
        <v>69</v>
      </c>
      <c r="AA71" s="29">
        <f t="shared" si="3"/>
        <v>2</v>
      </c>
      <c r="AB71" s="29">
        <f t="shared" si="4"/>
        <v>8</v>
      </c>
      <c r="AC71" s="29">
        <f t="shared" si="5"/>
        <v>2</v>
      </c>
      <c r="AD71" s="29">
        <f t="shared" si="6"/>
        <v>8</v>
      </c>
      <c r="AE71" s="29" t="str">
        <f t="shared" si="7"/>
        <v/>
      </c>
      <c r="AF71" s="29" t="str">
        <f t="shared" si="8"/>
        <v/>
      </c>
      <c r="AG71" s="27">
        <v>10</v>
      </c>
      <c r="AH71" s="27">
        <v>10</v>
      </c>
      <c r="AI71" s="27">
        <v>0</v>
      </c>
      <c r="AJ71" s="23" t="s">
        <v>184</v>
      </c>
      <c r="AN71" s="31" t="str">
        <f>C71 &amp; " doors"</f>
        <v>4 doors</v>
      </c>
      <c r="AP71" s="23" t="s">
        <v>71</v>
      </c>
      <c r="AQ71" s="23" t="s">
        <v>78</v>
      </c>
      <c r="AR71" s="32">
        <f t="shared" si="43"/>
        <v>4004</v>
      </c>
      <c r="AS71" s="23">
        <v>40</v>
      </c>
      <c r="AT71" s="23">
        <v>4</v>
      </c>
      <c r="AU71" s="23">
        <v>0</v>
      </c>
    </row>
    <row r="72" spans="1:47">
      <c r="A72" s="26" t="s">
        <v>217</v>
      </c>
      <c r="B72" s="23">
        <v>12</v>
      </c>
      <c r="C72" s="23">
        <v>3</v>
      </c>
      <c r="E72" s="23" t="s">
        <v>60</v>
      </c>
      <c r="H72" s="27">
        <v>20</v>
      </c>
      <c r="I72" s="27">
        <v>25</v>
      </c>
      <c r="J72" s="27">
        <v>20</v>
      </c>
      <c r="K72" s="27">
        <v>14</v>
      </c>
      <c r="L72" s="27">
        <v>14</v>
      </c>
      <c r="P72" s="28">
        <f t="shared" si="0"/>
        <v>28</v>
      </c>
      <c r="Q72" s="28">
        <f t="shared" si="1"/>
        <v>14.337199999999999</v>
      </c>
      <c r="R72" s="28">
        <f t="shared" si="2"/>
        <v>27.401066666666669</v>
      </c>
      <c r="S72" s="27">
        <v>80</v>
      </c>
      <c r="T72" s="29">
        <f>U72*1.341</f>
        <v>246.744</v>
      </c>
      <c r="U72" s="27">
        <v>184</v>
      </c>
      <c r="W72" s="27">
        <v>109</v>
      </c>
      <c r="X72" s="29">
        <f t="shared" si="10"/>
        <v>200</v>
      </c>
      <c r="Y72" s="27" t="s">
        <v>69</v>
      </c>
      <c r="Z72" s="27" t="s">
        <v>69</v>
      </c>
      <c r="AA72" s="29">
        <f t="shared" si="3"/>
        <v>8</v>
      </c>
      <c r="AB72" s="29" t="str">
        <f t="shared" si="4"/>
        <v/>
      </c>
      <c r="AC72" s="29" t="str">
        <f t="shared" si="5"/>
        <v/>
      </c>
      <c r="AD72" s="29" t="str">
        <f t="shared" si="6"/>
        <v/>
      </c>
      <c r="AE72" s="29" t="str">
        <f t="shared" si="7"/>
        <v/>
      </c>
      <c r="AF72" s="29" t="str">
        <f t="shared" si="8"/>
        <v/>
      </c>
      <c r="AG72" s="27">
        <v>8</v>
      </c>
      <c r="AH72" s="27">
        <v>0</v>
      </c>
      <c r="AI72" s="27">
        <v>0</v>
      </c>
      <c r="AJ72" s="23" t="s">
        <v>184</v>
      </c>
      <c r="AN72" s="31" t="str">
        <f>C72 &amp; " doors"</f>
        <v>3 doors</v>
      </c>
      <c r="AP72" s="23" t="s">
        <v>71</v>
      </c>
      <c r="AQ72" s="23" t="s">
        <v>78</v>
      </c>
      <c r="AR72" s="32">
        <f t="shared" si="43"/>
        <v>4005</v>
      </c>
      <c r="AS72" s="23">
        <v>40</v>
      </c>
      <c r="AT72" s="23">
        <v>5</v>
      </c>
      <c r="AU72" s="23">
        <v>0</v>
      </c>
    </row>
    <row r="73" spans="1:47">
      <c r="A73" s="26" t="s">
        <v>217</v>
      </c>
      <c r="B73" s="23">
        <v>19</v>
      </c>
      <c r="C73" s="23">
        <v>4</v>
      </c>
      <c r="E73" s="23" t="s">
        <v>60</v>
      </c>
      <c r="H73" s="27">
        <v>20</v>
      </c>
      <c r="I73" s="27">
        <v>25</v>
      </c>
      <c r="J73" s="27">
        <v>20</v>
      </c>
      <c r="K73" s="27">
        <v>14</v>
      </c>
      <c r="L73" s="27">
        <v>14</v>
      </c>
      <c r="M73" s="27">
        <v>14</v>
      </c>
      <c r="P73" s="28">
        <f t="shared" si="0"/>
        <v>42</v>
      </c>
      <c r="Q73" s="28">
        <f t="shared" si="1"/>
        <v>18.75675</v>
      </c>
      <c r="R73" s="28">
        <f t="shared" si="2"/>
        <v>35.760166666666663</v>
      </c>
      <c r="S73" s="27">
        <v>80</v>
      </c>
      <c r="T73" s="29">
        <f>U73*1.341</f>
        <v>315.13499999999999</v>
      </c>
      <c r="U73" s="27">
        <v>235</v>
      </c>
      <c r="W73" s="27">
        <v>187</v>
      </c>
      <c r="X73" s="29">
        <f t="shared" si="10"/>
        <v>200</v>
      </c>
      <c r="Y73" s="27" t="s">
        <v>69</v>
      </c>
      <c r="Z73" s="27" t="s">
        <v>69</v>
      </c>
      <c r="AA73" s="29">
        <f t="shared" si="3"/>
        <v>2</v>
      </c>
      <c r="AB73" s="29">
        <f t="shared" si="4"/>
        <v>8</v>
      </c>
      <c r="AC73" s="29">
        <f t="shared" si="5"/>
        <v>3</v>
      </c>
      <c r="AD73" s="29">
        <f t="shared" si="6"/>
        <v>8</v>
      </c>
      <c r="AE73" s="29" t="str">
        <f t="shared" si="7"/>
        <v/>
      </c>
      <c r="AF73" s="29" t="str">
        <f t="shared" si="8"/>
        <v/>
      </c>
      <c r="AG73" s="27">
        <v>10</v>
      </c>
      <c r="AH73" s="27">
        <v>11</v>
      </c>
      <c r="AI73" s="27">
        <v>0</v>
      </c>
      <c r="AJ73" s="23" t="s">
        <v>184</v>
      </c>
      <c r="AN73" s="31" t="str">
        <f>C73 &amp; " doors"</f>
        <v>4 doors</v>
      </c>
      <c r="AP73" s="23" t="s">
        <v>71</v>
      </c>
      <c r="AQ73" s="23" t="s">
        <v>78</v>
      </c>
      <c r="AR73" s="32">
        <f t="shared" si="43"/>
        <v>4006</v>
      </c>
      <c r="AS73" s="23">
        <v>40</v>
      </c>
      <c r="AT73" s="23">
        <v>6</v>
      </c>
      <c r="AU73" s="23">
        <v>0</v>
      </c>
    </row>
    <row r="74" spans="1:47">
      <c r="A74" s="26" t="s">
        <v>176</v>
      </c>
      <c r="B74" s="23">
        <v>10</v>
      </c>
      <c r="C74" s="23">
        <v>2</v>
      </c>
      <c r="E74" s="23" t="s">
        <v>60</v>
      </c>
      <c r="F74" s="23" t="s">
        <v>179</v>
      </c>
      <c r="G74" s="27">
        <v>2016</v>
      </c>
      <c r="H74" s="27">
        <v>20</v>
      </c>
      <c r="I74" s="27">
        <v>25</v>
      </c>
      <c r="J74" s="27">
        <v>20</v>
      </c>
      <c r="K74" s="27">
        <v>14</v>
      </c>
      <c r="L74" s="27">
        <v>14</v>
      </c>
      <c r="P74" s="28">
        <f t="shared" si="0"/>
        <v>28</v>
      </c>
      <c r="Q74" s="28">
        <f t="shared" si="1"/>
        <v>20.78</v>
      </c>
      <c r="R74" s="28">
        <f t="shared" si="2"/>
        <v>31.926666666666669</v>
      </c>
      <c r="S74" s="27">
        <v>80</v>
      </c>
      <c r="T74" s="29">
        <f>U74*1.36</f>
        <v>285.60000000000002</v>
      </c>
      <c r="U74" s="27">
        <v>210</v>
      </c>
      <c r="V74" s="27">
        <v>9</v>
      </c>
      <c r="W74" s="27">
        <v>70</v>
      </c>
      <c r="X74" s="29">
        <f t="shared" si="10"/>
        <v>200</v>
      </c>
      <c r="Y74" s="27" t="s">
        <v>69</v>
      </c>
      <c r="Z74" s="27" t="s">
        <v>69</v>
      </c>
      <c r="AA74" s="29">
        <f t="shared" si="3"/>
        <v>2</v>
      </c>
      <c r="AB74" s="29">
        <f t="shared" si="4"/>
        <v>8</v>
      </c>
      <c r="AC74" s="29" t="str">
        <f t="shared" si="5"/>
        <v/>
      </c>
      <c r="AD74" s="29" t="str">
        <f t="shared" si="6"/>
        <v/>
      </c>
      <c r="AE74" s="29" t="str">
        <f t="shared" si="7"/>
        <v/>
      </c>
      <c r="AF74" s="29" t="str">
        <f t="shared" si="8"/>
        <v/>
      </c>
      <c r="AG74" s="27">
        <v>10</v>
      </c>
      <c r="AH74" s="27">
        <v>0</v>
      </c>
      <c r="AI74" s="27">
        <v>0</v>
      </c>
      <c r="AJ74" s="23" t="s">
        <v>184</v>
      </c>
      <c r="AK74" s="23" t="s">
        <v>176</v>
      </c>
      <c r="AM74" s="23">
        <v>10</v>
      </c>
      <c r="AN74" s="31" t="str">
        <f>IF(O74&gt;0, "5 doors", IF(N74&gt;0, "4 doors", IF(M74&gt;0, "3 doors", IF(L74&gt;0, "2 doors", "1 door"))))</f>
        <v>2 doors</v>
      </c>
      <c r="AO74" s="23" t="s">
        <v>67</v>
      </c>
      <c r="AP74" s="23" t="s">
        <v>71</v>
      </c>
      <c r="AQ74" s="23" t="s">
        <v>78</v>
      </c>
      <c r="AR74" s="34">
        <f t="shared" si="43"/>
        <v>4007</v>
      </c>
      <c r="AS74" s="23">
        <v>40</v>
      </c>
      <c r="AT74" s="23">
        <v>7</v>
      </c>
      <c r="AU74" s="23">
        <v>0</v>
      </c>
    </row>
    <row r="75" spans="1:47">
      <c r="A75" s="26" t="s">
        <v>176</v>
      </c>
      <c r="B75" s="23" t="s">
        <v>177</v>
      </c>
      <c r="C75" s="23">
        <v>3</v>
      </c>
      <c r="E75" s="23" t="s">
        <v>60</v>
      </c>
      <c r="F75" s="23" t="s">
        <v>180</v>
      </c>
      <c r="G75" s="27">
        <v>2013</v>
      </c>
      <c r="H75" s="27">
        <v>20</v>
      </c>
      <c r="I75" s="27">
        <v>25</v>
      </c>
      <c r="J75" s="27">
        <v>20</v>
      </c>
      <c r="K75" s="27">
        <v>14</v>
      </c>
      <c r="L75" s="27">
        <v>14</v>
      </c>
      <c r="M75" s="27">
        <v>12</v>
      </c>
      <c r="P75" s="28">
        <f t="shared" ref="P75:P139" si="60">SUM(K75:O75)</f>
        <v>40</v>
      </c>
      <c r="Q75" s="28">
        <f t="shared" ref="Q75:Q139" si="61">IF(OR(E75="diesel", E75="petrol"), ((V75+(T75/10))/2)+(P75/14), IF(OR(E75="cng", E75="hybrid"), ((V75+(T75/10))/2*1.2)+(P75/14), IF(OR(E75="hydrogen", E75="electric"), ((V75+(T75/10))/2*1.5)+(P75/14), 0)))</f>
        <v>21.637142857142859</v>
      </c>
      <c r="R75" s="28">
        <f t="shared" ref="R75:R139" si="62">IF(E75="petrol", ((V75+(W75/15)+T75)/10*1.5)+(P75/14), IF(E75="diesel", ((V75+(W75/15)+T75)/10)+(P75/14), IF(OR(E75="cng", E75="hybrid"), ((V75+(W75/15)+T75)/10*0.8)+(P75/14), IF(OR(E75="hydrogen", E75="electric"), ((V75+(W75/15)+T75)/10*0.5)+(P75/14), 0))))</f>
        <v>32.983809523809526</v>
      </c>
      <c r="S75" s="27">
        <v>80</v>
      </c>
      <c r="T75" s="29">
        <f>U75*1.36</f>
        <v>285.60000000000002</v>
      </c>
      <c r="U75" s="27">
        <v>210</v>
      </c>
      <c r="V75" s="27">
        <v>9</v>
      </c>
      <c r="W75" s="27">
        <v>100</v>
      </c>
      <c r="X75" s="29">
        <f t="shared" si="10"/>
        <v>200</v>
      </c>
      <c r="Y75" s="27" t="s">
        <v>69</v>
      </c>
      <c r="Z75" s="27" t="s">
        <v>69</v>
      </c>
      <c r="AA75" s="29">
        <f t="shared" ref="AA75:AA139" si="63">IF(AG75&gt;8, AG75-8, AG75)</f>
        <v>4</v>
      </c>
      <c r="AB75" s="29">
        <f t="shared" ref="AB75:AB139" si="64">IF(AG75&gt;8, 8, "")</f>
        <v>8</v>
      </c>
      <c r="AC75" s="29" t="str">
        <f t="shared" ref="AC75:AC139" si="65">IF(AH75&gt;8, AH75-8, IF(AH75=0, "", AH75))</f>
        <v/>
      </c>
      <c r="AD75" s="29" t="str">
        <f t="shared" ref="AD75:AD139" si="66">IF(AH75&gt;8, 8, "")</f>
        <v/>
      </c>
      <c r="AE75" s="29" t="str">
        <f t="shared" ref="AE75:AE139" si="67">IF(AI75&gt;8, AI75-8, IF(AI75=0, "", AI75))</f>
        <v/>
      </c>
      <c r="AF75" s="29" t="str">
        <f t="shared" ref="AF75:AF139" si="68">IF(AI75&gt;8, 8, "")</f>
        <v/>
      </c>
      <c r="AG75" s="27">
        <v>12</v>
      </c>
      <c r="AH75" s="27">
        <v>0</v>
      </c>
      <c r="AI75" s="27">
        <v>0</v>
      </c>
      <c r="AJ75" s="23" t="s">
        <v>184</v>
      </c>
      <c r="AK75" s="23" t="s">
        <v>176</v>
      </c>
      <c r="AM75" s="23" t="s">
        <v>177</v>
      </c>
      <c r="AN75" s="31" t="str">
        <f>IF(O75&gt;0, "5 doors", IF(N75&gt;0, "4 doors", IF(M75&gt;0, "3 doors", IF(L75&gt;0, "2 doors", "1 door"))))</f>
        <v>3 doors</v>
      </c>
      <c r="AO75" s="23" t="s">
        <v>66</v>
      </c>
      <c r="AP75" s="23" t="s">
        <v>71</v>
      </c>
      <c r="AQ75" s="23" t="s">
        <v>78</v>
      </c>
      <c r="AR75" s="34">
        <f t="shared" ref="AR75:AR139" si="69">(AS75*100)+AT75+(AU75/100)</f>
        <v>4008</v>
      </c>
      <c r="AS75" s="23">
        <v>40</v>
      </c>
      <c r="AT75" s="23">
        <v>8</v>
      </c>
      <c r="AU75" s="23">
        <v>0</v>
      </c>
    </row>
    <row r="76" spans="1:47">
      <c r="A76" s="26" t="s">
        <v>176</v>
      </c>
      <c r="B76" s="23">
        <v>12</v>
      </c>
      <c r="C76" s="23">
        <v>2</v>
      </c>
      <c r="E76" s="23" t="s">
        <v>60</v>
      </c>
      <c r="F76" s="23" t="s">
        <v>182</v>
      </c>
      <c r="G76" s="27">
        <v>2012</v>
      </c>
      <c r="H76" s="27">
        <v>20</v>
      </c>
      <c r="I76" s="27">
        <v>25</v>
      </c>
      <c r="J76" s="27">
        <v>20</v>
      </c>
      <c r="K76" s="27">
        <v>14</v>
      </c>
      <c r="L76" s="27">
        <v>14</v>
      </c>
      <c r="P76" s="28">
        <f t="shared" si="60"/>
        <v>28</v>
      </c>
      <c r="Q76" s="28">
        <f t="shared" si="61"/>
        <v>20.78</v>
      </c>
      <c r="R76" s="28">
        <f t="shared" si="62"/>
        <v>32.06666666666667</v>
      </c>
      <c r="S76" s="27">
        <v>80</v>
      </c>
      <c r="T76" s="29">
        <f>U76*1.36</f>
        <v>285.60000000000002</v>
      </c>
      <c r="U76" s="27">
        <v>210</v>
      </c>
      <c r="V76" s="27">
        <v>9</v>
      </c>
      <c r="W76" s="27">
        <v>91</v>
      </c>
      <c r="X76" s="29">
        <f t="shared" si="10"/>
        <v>200</v>
      </c>
      <c r="Y76" s="27" t="s">
        <v>69</v>
      </c>
      <c r="Z76" s="27" t="s">
        <v>69</v>
      </c>
      <c r="AA76" s="29">
        <f t="shared" si="63"/>
        <v>4</v>
      </c>
      <c r="AB76" s="29">
        <f t="shared" si="64"/>
        <v>8</v>
      </c>
      <c r="AC76" s="29" t="str">
        <f t="shared" si="65"/>
        <v/>
      </c>
      <c r="AD76" s="29" t="str">
        <f t="shared" si="66"/>
        <v/>
      </c>
      <c r="AE76" s="29" t="str">
        <f t="shared" si="67"/>
        <v/>
      </c>
      <c r="AF76" s="29" t="str">
        <f t="shared" si="68"/>
        <v/>
      </c>
      <c r="AG76" s="27">
        <v>12</v>
      </c>
      <c r="AH76" s="27">
        <v>0</v>
      </c>
      <c r="AI76" s="27">
        <v>0</v>
      </c>
      <c r="AJ76" s="23" t="s">
        <v>184</v>
      </c>
      <c r="AK76" s="23" t="s">
        <v>176</v>
      </c>
      <c r="AM76" s="23">
        <v>12</v>
      </c>
      <c r="AN76" s="31" t="str">
        <f>IF(O76&gt;0, "5 doors", IF(N76&gt;0, "4 doors", IF(M76&gt;0, "3 doors", IF(L76&gt;0, "2 doors", "1 door"))))</f>
        <v>2 doors</v>
      </c>
      <c r="AO76" s="23" t="s">
        <v>66</v>
      </c>
      <c r="AP76" s="23" t="s">
        <v>71</v>
      </c>
      <c r="AQ76" s="23" t="s">
        <v>78</v>
      </c>
      <c r="AR76" s="34">
        <f t="shared" si="69"/>
        <v>4009</v>
      </c>
      <c r="AS76" s="23">
        <v>40</v>
      </c>
      <c r="AT76" s="23">
        <v>9</v>
      </c>
      <c r="AU76" s="23">
        <v>0</v>
      </c>
    </row>
    <row r="77" spans="1:47">
      <c r="A77" s="26" t="s">
        <v>176</v>
      </c>
      <c r="B77" s="23" t="s">
        <v>178</v>
      </c>
      <c r="C77" s="23">
        <v>3</v>
      </c>
      <c r="E77" s="23" t="s">
        <v>60</v>
      </c>
      <c r="F77" s="23" t="s">
        <v>181</v>
      </c>
      <c r="G77" s="27">
        <v>2016</v>
      </c>
      <c r="H77" s="27">
        <v>20</v>
      </c>
      <c r="I77" s="27">
        <v>25</v>
      </c>
      <c r="J77" s="27">
        <v>20</v>
      </c>
      <c r="K77" s="27">
        <v>14</v>
      </c>
      <c r="L77" s="27">
        <v>14</v>
      </c>
      <c r="M77" s="27">
        <v>12</v>
      </c>
      <c r="P77" s="28">
        <f t="shared" si="60"/>
        <v>40</v>
      </c>
      <c r="Q77" s="28">
        <f t="shared" si="61"/>
        <v>22.137142857142859</v>
      </c>
      <c r="R77" s="28">
        <f t="shared" si="62"/>
        <v>33.183809523809529</v>
      </c>
      <c r="S77" s="27">
        <v>80</v>
      </c>
      <c r="T77" s="29">
        <f>U77*1.36</f>
        <v>285.60000000000002</v>
      </c>
      <c r="U77" s="27">
        <v>210</v>
      </c>
      <c r="V77" s="27">
        <v>10</v>
      </c>
      <c r="W77" s="27">
        <v>115</v>
      </c>
      <c r="X77" s="29">
        <f t="shared" si="10"/>
        <v>200</v>
      </c>
      <c r="Y77" s="27" t="s">
        <v>69</v>
      </c>
      <c r="Z77" s="27" t="s">
        <v>69</v>
      </c>
      <c r="AA77" s="29">
        <f t="shared" si="63"/>
        <v>5</v>
      </c>
      <c r="AB77" s="29">
        <f t="shared" si="64"/>
        <v>8</v>
      </c>
      <c r="AC77" s="29" t="str">
        <f t="shared" si="65"/>
        <v/>
      </c>
      <c r="AD77" s="29" t="str">
        <f t="shared" si="66"/>
        <v/>
      </c>
      <c r="AE77" s="29" t="str">
        <f t="shared" si="67"/>
        <v/>
      </c>
      <c r="AF77" s="29" t="str">
        <f t="shared" si="68"/>
        <v/>
      </c>
      <c r="AG77" s="27">
        <v>13</v>
      </c>
      <c r="AH77" s="27">
        <v>0</v>
      </c>
      <c r="AI77" s="27">
        <v>0</v>
      </c>
      <c r="AJ77" s="23" t="s">
        <v>184</v>
      </c>
      <c r="AK77" s="23" t="s">
        <v>176</v>
      </c>
      <c r="AM77" s="23" t="s">
        <v>178</v>
      </c>
      <c r="AN77" s="31" t="str">
        <f>IF(O77&gt;0, "5 doors", IF(N77&gt;0, "4 doors", IF(M77&gt;0, "3 doors", IF(L77&gt;0, "2 doors", "1 door"))))</f>
        <v>3 doors</v>
      </c>
      <c r="AO77" s="23" t="s">
        <v>88</v>
      </c>
      <c r="AP77" s="23" t="s">
        <v>71</v>
      </c>
      <c r="AQ77" s="23" t="s">
        <v>78</v>
      </c>
      <c r="AR77" s="34">
        <f t="shared" si="69"/>
        <v>4010</v>
      </c>
      <c r="AS77" s="23">
        <v>40</v>
      </c>
      <c r="AT77" s="23">
        <v>10</v>
      </c>
      <c r="AU77" s="23">
        <v>0</v>
      </c>
    </row>
    <row r="78" spans="1:47">
      <c r="A78" s="26" t="s">
        <v>176</v>
      </c>
      <c r="B78" s="23">
        <v>13</v>
      </c>
      <c r="C78" s="23">
        <v>2</v>
      </c>
      <c r="E78" s="23" t="s">
        <v>60</v>
      </c>
      <c r="F78" s="23" t="s">
        <v>183</v>
      </c>
      <c r="G78" s="27">
        <v>2016</v>
      </c>
      <c r="H78" s="27">
        <v>20</v>
      </c>
      <c r="I78" s="27">
        <v>25</v>
      </c>
      <c r="J78" s="27">
        <v>20</v>
      </c>
      <c r="K78" s="27">
        <v>14</v>
      </c>
      <c r="L78" s="27">
        <v>14</v>
      </c>
      <c r="P78" s="28">
        <f t="shared" si="60"/>
        <v>28</v>
      </c>
      <c r="Q78" s="28">
        <f t="shared" si="61"/>
        <v>21.28</v>
      </c>
      <c r="R78" s="28">
        <f t="shared" si="62"/>
        <v>32.200000000000003</v>
      </c>
      <c r="S78" s="27">
        <v>80</v>
      </c>
      <c r="T78" s="29">
        <f>U78*1.36</f>
        <v>285.60000000000002</v>
      </c>
      <c r="U78" s="27">
        <v>210</v>
      </c>
      <c r="V78" s="27">
        <v>10</v>
      </c>
      <c r="W78" s="27">
        <v>96</v>
      </c>
      <c r="X78" s="29">
        <f t="shared" si="10"/>
        <v>200</v>
      </c>
      <c r="Y78" s="27" t="s">
        <v>69</v>
      </c>
      <c r="Z78" s="27" t="s">
        <v>69</v>
      </c>
      <c r="AA78" s="29">
        <f t="shared" si="63"/>
        <v>5</v>
      </c>
      <c r="AB78" s="29">
        <f t="shared" si="64"/>
        <v>8</v>
      </c>
      <c r="AC78" s="29" t="str">
        <f t="shared" si="65"/>
        <v/>
      </c>
      <c r="AD78" s="29" t="str">
        <f t="shared" si="66"/>
        <v/>
      </c>
      <c r="AE78" s="29" t="str">
        <f t="shared" si="67"/>
        <v/>
      </c>
      <c r="AF78" s="29" t="str">
        <f t="shared" si="68"/>
        <v/>
      </c>
      <c r="AG78" s="27">
        <v>13</v>
      </c>
      <c r="AH78" s="27">
        <v>0</v>
      </c>
      <c r="AI78" s="27">
        <v>0</v>
      </c>
      <c r="AJ78" s="23" t="s">
        <v>184</v>
      </c>
      <c r="AK78" s="23" t="s">
        <v>176</v>
      </c>
      <c r="AM78" s="23">
        <v>13</v>
      </c>
      <c r="AN78" s="31" t="str">
        <f>IF(O78&gt;0, "5 doors", IF(N78&gt;0, "4 doors", IF(M78&gt;0, "3 doors", IF(L78&gt;0, "2 doors", "1 door"))))</f>
        <v>2 doors</v>
      </c>
      <c r="AO78" s="23" t="s">
        <v>88</v>
      </c>
      <c r="AP78" s="23" t="s">
        <v>71</v>
      </c>
      <c r="AQ78" s="23" t="s">
        <v>78</v>
      </c>
      <c r="AR78" s="34">
        <f t="shared" si="69"/>
        <v>4011</v>
      </c>
      <c r="AS78" s="23">
        <v>40</v>
      </c>
      <c r="AT78" s="23">
        <v>11</v>
      </c>
      <c r="AU78" s="23">
        <v>0</v>
      </c>
    </row>
    <row r="79" spans="1:47">
      <c r="A79" s="26" t="s">
        <v>218</v>
      </c>
      <c r="B79" s="23">
        <v>12</v>
      </c>
      <c r="C79" s="23">
        <v>3</v>
      </c>
      <c r="E79" s="23" t="s">
        <v>60</v>
      </c>
      <c r="H79" s="27">
        <v>20</v>
      </c>
      <c r="I79" s="27">
        <v>25</v>
      </c>
      <c r="J79" s="27">
        <v>20</v>
      </c>
      <c r="K79" s="27">
        <v>14</v>
      </c>
      <c r="L79" s="27">
        <v>14</v>
      </c>
      <c r="P79" s="28">
        <f t="shared" si="60"/>
        <v>28</v>
      </c>
      <c r="Q79" s="28">
        <f t="shared" si="61"/>
        <v>2</v>
      </c>
      <c r="R79" s="28">
        <f t="shared" si="62"/>
        <v>2</v>
      </c>
      <c r="S79" s="27">
        <v>80</v>
      </c>
      <c r="T79" s="29">
        <f>U79*1.341</f>
        <v>0</v>
      </c>
      <c r="X79" s="29">
        <f t="shared" si="10"/>
        <v>200</v>
      </c>
      <c r="Y79" s="27" t="s">
        <v>69</v>
      </c>
      <c r="Z79" s="27" t="s">
        <v>69</v>
      </c>
      <c r="AA79" s="29">
        <f t="shared" si="63"/>
        <v>8</v>
      </c>
      <c r="AB79" s="29" t="str">
        <f t="shared" si="64"/>
        <v/>
      </c>
      <c r="AC79" s="29" t="str">
        <f t="shared" si="65"/>
        <v/>
      </c>
      <c r="AD79" s="29" t="str">
        <f t="shared" si="66"/>
        <v/>
      </c>
      <c r="AE79" s="29" t="str">
        <f t="shared" si="67"/>
        <v/>
      </c>
      <c r="AF79" s="29" t="str">
        <f t="shared" si="68"/>
        <v/>
      </c>
      <c r="AG79" s="27">
        <v>8</v>
      </c>
      <c r="AH79" s="27">
        <v>0</v>
      </c>
      <c r="AI79" s="27">
        <v>0</v>
      </c>
      <c r="AJ79" s="23" t="s">
        <v>184</v>
      </c>
      <c r="AN79" s="31" t="str">
        <f>C79 &amp; " doors"</f>
        <v>3 doors</v>
      </c>
      <c r="AP79" s="23" t="s">
        <v>71</v>
      </c>
      <c r="AQ79" s="23" t="s">
        <v>78</v>
      </c>
      <c r="AR79" s="32">
        <f t="shared" si="69"/>
        <v>4012</v>
      </c>
      <c r="AS79" s="23">
        <v>40</v>
      </c>
      <c r="AT79" s="23">
        <v>12</v>
      </c>
      <c r="AU79" s="23">
        <v>0</v>
      </c>
    </row>
    <row r="80" spans="1:47">
      <c r="A80" s="26" t="s">
        <v>218</v>
      </c>
      <c r="B80" s="23">
        <v>19</v>
      </c>
      <c r="C80" s="23">
        <v>4</v>
      </c>
      <c r="E80" s="23" t="s">
        <v>60</v>
      </c>
      <c r="H80" s="27">
        <v>20</v>
      </c>
      <c r="I80" s="27">
        <v>25</v>
      </c>
      <c r="J80" s="27">
        <v>20</v>
      </c>
      <c r="K80" s="27">
        <v>14</v>
      </c>
      <c r="L80" s="27">
        <v>14</v>
      </c>
      <c r="M80" s="27">
        <v>14</v>
      </c>
      <c r="P80" s="28">
        <f t="shared" si="60"/>
        <v>42</v>
      </c>
      <c r="Q80" s="28">
        <f t="shared" si="61"/>
        <v>3</v>
      </c>
      <c r="R80" s="28">
        <f t="shared" si="62"/>
        <v>3</v>
      </c>
      <c r="S80" s="27">
        <v>80</v>
      </c>
      <c r="T80" s="29">
        <f>U80*1.341</f>
        <v>0</v>
      </c>
      <c r="X80" s="29">
        <f t="shared" ref="X80:X145" si="70">IF(AP80="Regional", 185, IF(AP80="Intercity", 150, IF(AP80="Tourist", 100, 200)))</f>
        <v>200</v>
      </c>
      <c r="Y80" s="27" t="s">
        <v>69</v>
      </c>
      <c r="Z80" s="27" t="s">
        <v>69</v>
      </c>
      <c r="AA80" s="29">
        <f t="shared" si="63"/>
        <v>2</v>
      </c>
      <c r="AB80" s="29">
        <f t="shared" si="64"/>
        <v>8</v>
      </c>
      <c r="AC80" s="29">
        <f t="shared" si="65"/>
        <v>3</v>
      </c>
      <c r="AD80" s="29">
        <f t="shared" si="66"/>
        <v>8</v>
      </c>
      <c r="AE80" s="29" t="str">
        <f t="shared" si="67"/>
        <v/>
      </c>
      <c r="AF80" s="29" t="str">
        <f t="shared" si="68"/>
        <v/>
      </c>
      <c r="AG80" s="27">
        <v>10</v>
      </c>
      <c r="AH80" s="27">
        <v>11</v>
      </c>
      <c r="AI80" s="27">
        <v>0</v>
      </c>
      <c r="AJ80" s="23" t="s">
        <v>184</v>
      </c>
      <c r="AN80" s="31" t="str">
        <f>C80 &amp; " doors"</f>
        <v>4 doors</v>
      </c>
      <c r="AP80" s="23" t="s">
        <v>71</v>
      </c>
      <c r="AQ80" s="23" t="s">
        <v>78</v>
      </c>
      <c r="AR80" s="32">
        <f t="shared" si="69"/>
        <v>4013</v>
      </c>
      <c r="AS80" s="23">
        <v>40</v>
      </c>
      <c r="AT80" s="23">
        <v>13</v>
      </c>
      <c r="AU80" s="23">
        <v>0</v>
      </c>
    </row>
    <row r="81" spans="1:47">
      <c r="A81" s="26" t="s">
        <v>206</v>
      </c>
      <c r="B81" s="23">
        <v>9.5</v>
      </c>
      <c r="C81" s="23">
        <v>2</v>
      </c>
      <c r="E81" s="23" t="s">
        <v>60</v>
      </c>
      <c r="F81" s="23" t="s">
        <v>195</v>
      </c>
      <c r="G81" s="27">
        <v>2000</v>
      </c>
      <c r="H81" s="27">
        <v>20</v>
      </c>
      <c r="I81" s="27">
        <v>25</v>
      </c>
      <c r="J81" s="27">
        <v>20</v>
      </c>
      <c r="K81" s="27">
        <v>5</v>
      </c>
      <c r="L81" s="27">
        <v>5</v>
      </c>
      <c r="P81" s="28">
        <f t="shared" si="60"/>
        <v>10</v>
      </c>
      <c r="Q81" s="28">
        <f t="shared" si="61"/>
        <v>16.682285714285715</v>
      </c>
      <c r="R81" s="28">
        <f t="shared" si="62"/>
        <v>25.823619047619051</v>
      </c>
      <c r="S81" s="27">
        <v>100</v>
      </c>
      <c r="T81" s="29">
        <f t="shared" ref="T81:T94" si="71">U81*1.36</f>
        <v>239.36</v>
      </c>
      <c r="U81" s="27">
        <v>176</v>
      </c>
      <c r="V81" s="27">
        <v>8</v>
      </c>
      <c r="W81" s="27">
        <v>56</v>
      </c>
      <c r="X81" s="29">
        <f t="shared" si="70"/>
        <v>185</v>
      </c>
      <c r="Y81" s="27" t="s">
        <v>69</v>
      </c>
      <c r="Z81" s="27" t="s">
        <v>69</v>
      </c>
      <c r="AA81" s="29">
        <f t="shared" si="63"/>
        <v>2</v>
      </c>
      <c r="AB81" s="29">
        <f t="shared" si="64"/>
        <v>8</v>
      </c>
      <c r="AC81" s="29" t="str">
        <f t="shared" si="65"/>
        <v/>
      </c>
      <c r="AD81" s="29" t="str">
        <f t="shared" si="66"/>
        <v/>
      </c>
      <c r="AE81" s="29" t="str">
        <f t="shared" si="67"/>
        <v/>
      </c>
      <c r="AF81" s="29" t="str">
        <f t="shared" si="68"/>
        <v/>
      </c>
      <c r="AG81" s="27">
        <v>10</v>
      </c>
      <c r="AH81" s="27">
        <v>0</v>
      </c>
      <c r="AI81" s="27">
        <v>0</v>
      </c>
      <c r="AJ81" s="23" t="s">
        <v>184</v>
      </c>
      <c r="AK81" s="23" t="s">
        <v>206</v>
      </c>
      <c r="AL81" s="30">
        <v>9.5</v>
      </c>
      <c r="AN81" s="31" t="str">
        <f t="shared" ref="AN81:AN94" si="72">IF(O81&gt;0, "5 doors", IF(N81&gt;0, "4 doors", IF(M81&gt;0, "3 doors", IF(L81&gt;0, "2 doors", "1 door"))))</f>
        <v>2 doors</v>
      </c>
      <c r="AO81" s="23" t="s">
        <v>212</v>
      </c>
      <c r="AP81" s="23" t="s">
        <v>89</v>
      </c>
      <c r="AQ81" s="23" t="s">
        <v>78</v>
      </c>
      <c r="AR81" s="34">
        <f t="shared" si="69"/>
        <v>4014</v>
      </c>
      <c r="AS81" s="23">
        <v>40</v>
      </c>
      <c r="AT81" s="23">
        <v>14</v>
      </c>
      <c r="AU81" s="23">
        <v>0</v>
      </c>
    </row>
    <row r="82" spans="1:47">
      <c r="A82" s="26" t="s">
        <v>208</v>
      </c>
      <c r="B82" s="23">
        <v>11</v>
      </c>
      <c r="C82" s="23">
        <v>2</v>
      </c>
      <c r="E82" s="23" t="s">
        <v>60</v>
      </c>
      <c r="F82" s="23" t="s">
        <v>198</v>
      </c>
      <c r="G82" s="27">
        <v>2003</v>
      </c>
      <c r="H82" s="27">
        <v>20</v>
      </c>
      <c r="I82" s="27">
        <v>25</v>
      </c>
      <c r="J82" s="27">
        <v>20</v>
      </c>
      <c r="K82" s="27">
        <v>5</v>
      </c>
      <c r="L82" s="27">
        <v>10</v>
      </c>
      <c r="P82" s="28">
        <f t="shared" si="60"/>
        <v>15</v>
      </c>
      <c r="Q82" s="28">
        <f t="shared" si="61"/>
        <v>17.039428571428573</v>
      </c>
      <c r="R82" s="28">
        <f t="shared" si="62"/>
        <v>26.334095238095241</v>
      </c>
      <c r="S82" s="27">
        <v>100</v>
      </c>
      <c r="T82" s="29">
        <f t="shared" si="71"/>
        <v>239.36</v>
      </c>
      <c r="U82" s="27">
        <v>176</v>
      </c>
      <c r="V82" s="27">
        <v>8</v>
      </c>
      <c r="W82" s="27">
        <v>79</v>
      </c>
      <c r="X82" s="29">
        <f t="shared" si="70"/>
        <v>185</v>
      </c>
      <c r="Y82" s="27" t="s">
        <v>69</v>
      </c>
      <c r="Z82" s="27" t="s">
        <v>69</v>
      </c>
      <c r="AA82" s="29">
        <f t="shared" si="63"/>
        <v>3</v>
      </c>
      <c r="AB82" s="29">
        <f t="shared" si="64"/>
        <v>8</v>
      </c>
      <c r="AC82" s="29" t="str">
        <f t="shared" si="65"/>
        <v/>
      </c>
      <c r="AD82" s="29" t="str">
        <f t="shared" si="66"/>
        <v/>
      </c>
      <c r="AE82" s="29" t="str">
        <f t="shared" si="67"/>
        <v/>
      </c>
      <c r="AF82" s="29" t="str">
        <f t="shared" si="68"/>
        <v/>
      </c>
      <c r="AG82" s="27">
        <v>11</v>
      </c>
      <c r="AH82" s="27">
        <v>0</v>
      </c>
      <c r="AI82" s="27">
        <v>0</v>
      </c>
      <c r="AJ82" s="23" t="s">
        <v>184</v>
      </c>
      <c r="AK82" s="23" t="s">
        <v>208</v>
      </c>
      <c r="AL82" s="30">
        <v>11</v>
      </c>
      <c r="AN82" s="31" t="str">
        <f t="shared" si="72"/>
        <v>2 doors</v>
      </c>
      <c r="AO82" s="23" t="s">
        <v>213</v>
      </c>
      <c r="AP82" s="23" t="s">
        <v>89</v>
      </c>
      <c r="AQ82" s="23" t="s">
        <v>78</v>
      </c>
      <c r="AR82" s="34">
        <f t="shared" si="69"/>
        <v>4015</v>
      </c>
      <c r="AS82" s="23">
        <v>40</v>
      </c>
      <c r="AT82" s="23">
        <v>15</v>
      </c>
      <c r="AU82" s="23">
        <v>0</v>
      </c>
    </row>
    <row r="83" spans="1:47">
      <c r="A83" s="26" t="s">
        <v>208</v>
      </c>
      <c r="B83" s="23">
        <v>11</v>
      </c>
      <c r="C83" s="23">
        <v>2</v>
      </c>
      <c r="E83" s="23" t="s">
        <v>60</v>
      </c>
      <c r="F83" s="23" t="s">
        <v>198</v>
      </c>
      <c r="G83" s="27">
        <v>2003</v>
      </c>
      <c r="H83" s="27">
        <v>20</v>
      </c>
      <c r="I83" s="27">
        <v>25</v>
      </c>
      <c r="J83" s="27">
        <v>20</v>
      </c>
      <c r="K83" s="27">
        <v>5</v>
      </c>
      <c r="L83" s="27">
        <v>10</v>
      </c>
      <c r="P83" s="28">
        <f t="shared" si="60"/>
        <v>15</v>
      </c>
      <c r="Q83" s="28">
        <f t="shared" si="61"/>
        <v>17.039428571428573</v>
      </c>
      <c r="R83" s="28">
        <f t="shared" si="62"/>
        <v>26.334095238095241</v>
      </c>
      <c r="S83" s="27">
        <v>100</v>
      </c>
      <c r="T83" s="29">
        <f t="shared" si="71"/>
        <v>239.36</v>
      </c>
      <c r="U83" s="27">
        <v>176</v>
      </c>
      <c r="V83" s="27">
        <v>8</v>
      </c>
      <c r="W83" s="27">
        <v>79</v>
      </c>
      <c r="X83" s="29">
        <f t="shared" si="70"/>
        <v>185</v>
      </c>
      <c r="Y83" s="27" t="s">
        <v>186</v>
      </c>
      <c r="Z83" s="27" t="s">
        <v>186</v>
      </c>
      <c r="AA83" s="29">
        <f t="shared" si="63"/>
        <v>3</v>
      </c>
      <c r="AB83" s="29">
        <f t="shared" si="64"/>
        <v>8</v>
      </c>
      <c r="AC83" s="29" t="str">
        <f t="shared" si="65"/>
        <v/>
      </c>
      <c r="AD83" s="29" t="str">
        <f t="shared" si="66"/>
        <v/>
      </c>
      <c r="AE83" s="29" t="str">
        <f t="shared" si="67"/>
        <v/>
      </c>
      <c r="AF83" s="29" t="str">
        <f t="shared" si="68"/>
        <v/>
      </c>
      <c r="AG83" s="27">
        <v>11</v>
      </c>
      <c r="AH83" s="27">
        <v>0</v>
      </c>
      <c r="AI83" s="27">
        <v>0</v>
      </c>
      <c r="AJ83" s="23" t="s">
        <v>184</v>
      </c>
      <c r="AK83" s="23" t="s">
        <v>208</v>
      </c>
      <c r="AL83" s="30">
        <v>11</v>
      </c>
      <c r="AN83" s="31" t="str">
        <f t="shared" si="72"/>
        <v>2 doors</v>
      </c>
      <c r="AO83" s="23" t="s">
        <v>213</v>
      </c>
      <c r="AP83" s="23" t="s">
        <v>89</v>
      </c>
      <c r="AQ83" s="23" t="s">
        <v>78</v>
      </c>
      <c r="AR83" s="34">
        <f t="shared" si="69"/>
        <v>4015.01</v>
      </c>
      <c r="AS83" s="23">
        <v>40</v>
      </c>
      <c r="AT83" s="23">
        <v>15</v>
      </c>
      <c r="AU83" s="23">
        <v>1</v>
      </c>
    </row>
    <row r="84" spans="1:47">
      <c r="A84" s="26" t="s">
        <v>208</v>
      </c>
      <c r="B84" s="23">
        <v>12</v>
      </c>
      <c r="C84" s="23">
        <v>2</v>
      </c>
      <c r="E84" s="23" t="s">
        <v>60</v>
      </c>
      <c r="F84" s="23" t="s">
        <v>200</v>
      </c>
      <c r="G84" s="27">
        <v>2004</v>
      </c>
      <c r="H84" s="27">
        <v>20</v>
      </c>
      <c r="I84" s="27">
        <v>25</v>
      </c>
      <c r="J84" s="27">
        <v>20</v>
      </c>
      <c r="K84" s="27">
        <v>5</v>
      </c>
      <c r="L84" s="27">
        <v>10</v>
      </c>
      <c r="P84" s="28">
        <f t="shared" si="60"/>
        <v>15</v>
      </c>
      <c r="Q84" s="28">
        <f t="shared" si="61"/>
        <v>18.763428571428573</v>
      </c>
      <c r="R84" s="28">
        <f t="shared" si="62"/>
        <v>28.955428571428577</v>
      </c>
      <c r="S84" s="27">
        <v>110</v>
      </c>
      <c r="T84" s="29">
        <f t="shared" si="71"/>
        <v>263.84000000000003</v>
      </c>
      <c r="U84" s="27">
        <v>194</v>
      </c>
      <c r="V84" s="27">
        <v>9</v>
      </c>
      <c r="W84" s="27">
        <v>90</v>
      </c>
      <c r="X84" s="29">
        <f t="shared" si="70"/>
        <v>185</v>
      </c>
      <c r="Y84" s="27" t="s">
        <v>69</v>
      </c>
      <c r="Z84" s="27" t="s">
        <v>69</v>
      </c>
      <c r="AA84" s="29">
        <f t="shared" si="63"/>
        <v>4</v>
      </c>
      <c r="AB84" s="29">
        <f t="shared" si="64"/>
        <v>8</v>
      </c>
      <c r="AC84" s="29" t="str">
        <f t="shared" si="65"/>
        <v/>
      </c>
      <c r="AD84" s="29" t="str">
        <f t="shared" si="66"/>
        <v/>
      </c>
      <c r="AE84" s="29" t="str">
        <f t="shared" si="67"/>
        <v/>
      </c>
      <c r="AF84" s="29" t="str">
        <f t="shared" si="68"/>
        <v/>
      </c>
      <c r="AG84" s="27">
        <v>12</v>
      </c>
      <c r="AH84" s="27">
        <v>0</v>
      </c>
      <c r="AI84" s="27">
        <v>0</v>
      </c>
      <c r="AJ84" s="23" t="s">
        <v>184</v>
      </c>
      <c r="AK84" s="23" t="s">
        <v>208</v>
      </c>
      <c r="AL84" s="30">
        <v>12</v>
      </c>
      <c r="AN84" s="31" t="str">
        <f t="shared" si="72"/>
        <v>2 doors</v>
      </c>
      <c r="AO84" s="23" t="s">
        <v>66</v>
      </c>
      <c r="AP84" s="23" t="s">
        <v>89</v>
      </c>
      <c r="AQ84" s="23" t="s">
        <v>78</v>
      </c>
      <c r="AR84" s="34">
        <f t="shared" si="69"/>
        <v>4016</v>
      </c>
      <c r="AS84" s="23">
        <v>40</v>
      </c>
      <c r="AT84" s="23">
        <v>16</v>
      </c>
      <c r="AU84" s="23">
        <v>0</v>
      </c>
    </row>
    <row r="85" spans="1:47">
      <c r="A85" s="26" t="s">
        <v>165</v>
      </c>
      <c r="B85" s="23" t="s">
        <v>167</v>
      </c>
      <c r="C85" s="23">
        <v>2</v>
      </c>
      <c r="E85" s="23" t="s">
        <v>60</v>
      </c>
      <c r="F85" s="23" t="s">
        <v>169</v>
      </c>
      <c r="G85" s="27">
        <v>2012</v>
      </c>
      <c r="H85" s="27">
        <v>20</v>
      </c>
      <c r="I85" s="27">
        <v>25</v>
      </c>
      <c r="J85" s="27">
        <v>20</v>
      </c>
      <c r="K85" s="27">
        <v>6</v>
      </c>
      <c r="L85" s="27">
        <v>10</v>
      </c>
      <c r="P85" s="28">
        <f t="shared" si="60"/>
        <v>16</v>
      </c>
      <c r="Q85" s="28">
        <f t="shared" si="61"/>
        <v>19.922857142857143</v>
      </c>
      <c r="R85" s="28">
        <f t="shared" si="62"/>
        <v>31.136190476190475</v>
      </c>
      <c r="S85" s="27">
        <v>120</v>
      </c>
      <c r="T85" s="29">
        <f t="shared" si="71"/>
        <v>285.60000000000002</v>
      </c>
      <c r="U85" s="27">
        <v>210</v>
      </c>
      <c r="V85" s="27">
        <v>9</v>
      </c>
      <c r="W85" s="27">
        <v>80</v>
      </c>
      <c r="X85" s="29">
        <f t="shared" si="70"/>
        <v>185</v>
      </c>
      <c r="Y85" s="27" t="s">
        <v>69</v>
      </c>
      <c r="Z85" s="27" t="s">
        <v>69</v>
      </c>
      <c r="AA85" s="29">
        <f t="shared" si="63"/>
        <v>4</v>
      </c>
      <c r="AB85" s="29">
        <f t="shared" si="64"/>
        <v>8</v>
      </c>
      <c r="AC85" s="29" t="str">
        <f t="shared" si="65"/>
        <v/>
      </c>
      <c r="AD85" s="29" t="str">
        <f t="shared" si="66"/>
        <v/>
      </c>
      <c r="AE85" s="29" t="str">
        <f t="shared" si="67"/>
        <v/>
      </c>
      <c r="AF85" s="29" t="str">
        <f t="shared" si="68"/>
        <v/>
      </c>
      <c r="AG85" s="27">
        <v>12</v>
      </c>
      <c r="AH85" s="27">
        <v>0</v>
      </c>
      <c r="AI85" s="27">
        <v>0</v>
      </c>
      <c r="AJ85" s="23" t="s">
        <v>184</v>
      </c>
      <c r="AK85" s="23" t="s">
        <v>165</v>
      </c>
      <c r="AM85" s="30" t="s">
        <v>173</v>
      </c>
      <c r="AN85" s="31" t="str">
        <f t="shared" si="72"/>
        <v>2 doors</v>
      </c>
      <c r="AO85" s="23" t="s">
        <v>66</v>
      </c>
      <c r="AP85" s="23" t="s">
        <v>89</v>
      </c>
      <c r="AQ85" s="23" t="s">
        <v>78</v>
      </c>
      <c r="AR85" s="34">
        <f t="shared" si="69"/>
        <v>4017</v>
      </c>
      <c r="AS85" s="23">
        <v>40</v>
      </c>
      <c r="AT85" s="23">
        <v>17</v>
      </c>
      <c r="AU85" s="23">
        <v>0</v>
      </c>
    </row>
    <row r="86" spans="1:47">
      <c r="A86" s="26" t="s">
        <v>207</v>
      </c>
      <c r="B86" s="23">
        <v>9.5</v>
      </c>
      <c r="C86" s="23">
        <v>2</v>
      </c>
      <c r="E86" s="23" t="s">
        <v>60</v>
      </c>
      <c r="F86" s="23" t="s">
        <v>194</v>
      </c>
      <c r="G86" s="27">
        <v>2000</v>
      </c>
      <c r="H86" s="27">
        <v>20</v>
      </c>
      <c r="I86" s="27">
        <v>25</v>
      </c>
      <c r="J86" s="27">
        <v>20</v>
      </c>
      <c r="K86" s="27">
        <v>5</v>
      </c>
      <c r="L86" s="27">
        <v>5</v>
      </c>
      <c r="P86" s="28">
        <f t="shared" si="60"/>
        <v>10</v>
      </c>
      <c r="Q86" s="28">
        <f t="shared" si="61"/>
        <v>16.682285714285715</v>
      </c>
      <c r="R86" s="28">
        <f t="shared" si="62"/>
        <v>25.870285714285714</v>
      </c>
      <c r="S86" s="27">
        <v>100</v>
      </c>
      <c r="T86" s="29">
        <f t="shared" si="71"/>
        <v>239.36</v>
      </c>
      <c r="U86" s="27">
        <v>176</v>
      </c>
      <c r="V86" s="27">
        <v>8</v>
      </c>
      <c r="W86" s="27">
        <v>63</v>
      </c>
      <c r="X86" s="29">
        <f t="shared" si="70"/>
        <v>150</v>
      </c>
      <c r="Y86" s="27" t="s">
        <v>69</v>
      </c>
      <c r="Z86" s="27" t="s">
        <v>69</v>
      </c>
      <c r="AA86" s="29">
        <f t="shared" si="63"/>
        <v>2</v>
      </c>
      <c r="AB86" s="29">
        <f t="shared" si="64"/>
        <v>8</v>
      </c>
      <c r="AC86" s="29" t="str">
        <f t="shared" si="65"/>
        <v/>
      </c>
      <c r="AD86" s="29" t="str">
        <f t="shared" si="66"/>
        <v/>
      </c>
      <c r="AE86" s="29" t="str">
        <f t="shared" si="67"/>
        <v/>
      </c>
      <c r="AF86" s="29" t="str">
        <f t="shared" si="68"/>
        <v/>
      </c>
      <c r="AG86" s="27">
        <v>10</v>
      </c>
      <c r="AH86" s="27">
        <v>0</v>
      </c>
      <c r="AI86" s="27">
        <v>0</v>
      </c>
      <c r="AJ86" s="23" t="s">
        <v>184</v>
      </c>
      <c r="AK86" s="23" t="s">
        <v>207</v>
      </c>
      <c r="AL86" s="30">
        <v>9.5</v>
      </c>
      <c r="AN86" s="31" t="str">
        <f t="shared" si="72"/>
        <v>2 doors</v>
      </c>
      <c r="AO86" s="23" t="s">
        <v>212</v>
      </c>
      <c r="AP86" s="23" t="s">
        <v>211</v>
      </c>
      <c r="AQ86" s="23" t="s">
        <v>78</v>
      </c>
      <c r="AR86" s="34">
        <f t="shared" si="69"/>
        <v>4018</v>
      </c>
      <c r="AS86" s="23">
        <v>40</v>
      </c>
      <c r="AT86" s="23">
        <v>18</v>
      </c>
      <c r="AU86" s="23">
        <v>0</v>
      </c>
    </row>
    <row r="87" spans="1:47">
      <c r="A87" s="26" t="s">
        <v>207</v>
      </c>
      <c r="B87" s="23">
        <v>11</v>
      </c>
      <c r="C87" s="23">
        <v>2</v>
      </c>
      <c r="E87" s="23" t="s">
        <v>60</v>
      </c>
      <c r="F87" s="23" t="s">
        <v>199</v>
      </c>
      <c r="G87" s="27">
        <v>2001</v>
      </c>
      <c r="H87" s="27">
        <v>20</v>
      </c>
      <c r="I87" s="27">
        <v>25</v>
      </c>
      <c r="J87" s="27">
        <v>20</v>
      </c>
      <c r="K87" s="27">
        <v>5</v>
      </c>
      <c r="L87" s="27">
        <v>5</v>
      </c>
      <c r="P87" s="28">
        <f t="shared" si="60"/>
        <v>10</v>
      </c>
      <c r="Q87" s="28">
        <f t="shared" si="61"/>
        <v>16.682285714285715</v>
      </c>
      <c r="R87" s="28">
        <f t="shared" si="62"/>
        <v>25.903619047619049</v>
      </c>
      <c r="S87" s="27">
        <v>100</v>
      </c>
      <c r="T87" s="29">
        <f t="shared" si="71"/>
        <v>239.36</v>
      </c>
      <c r="U87" s="27">
        <v>176</v>
      </c>
      <c r="V87" s="27">
        <v>8</v>
      </c>
      <c r="W87" s="27">
        <v>68</v>
      </c>
      <c r="X87" s="29">
        <f t="shared" si="70"/>
        <v>150</v>
      </c>
      <c r="Y87" s="27" t="s">
        <v>69</v>
      </c>
      <c r="Z87" s="27" t="s">
        <v>69</v>
      </c>
      <c r="AA87" s="29">
        <f t="shared" si="63"/>
        <v>3</v>
      </c>
      <c r="AB87" s="29">
        <f t="shared" si="64"/>
        <v>8</v>
      </c>
      <c r="AC87" s="29" t="str">
        <f t="shared" si="65"/>
        <v/>
      </c>
      <c r="AD87" s="29" t="str">
        <f t="shared" si="66"/>
        <v/>
      </c>
      <c r="AE87" s="29" t="str">
        <f t="shared" si="67"/>
        <v/>
      </c>
      <c r="AF87" s="29" t="str">
        <f t="shared" si="68"/>
        <v/>
      </c>
      <c r="AG87" s="27">
        <v>11</v>
      </c>
      <c r="AH87" s="27">
        <v>0</v>
      </c>
      <c r="AI87" s="27">
        <v>0</v>
      </c>
      <c r="AJ87" s="23" t="s">
        <v>184</v>
      </c>
      <c r="AK87" s="23" t="s">
        <v>207</v>
      </c>
      <c r="AL87" s="30">
        <v>11</v>
      </c>
      <c r="AN87" s="31" t="str">
        <f t="shared" si="72"/>
        <v>2 doors</v>
      </c>
      <c r="AO87" s="23" t="s">
        <v>213</v>
      </c>
      <c r="AP87" s="23" t="s">
        <v>211</v>
      </c>
      <c r="AQ87" s="23" t="s">
        <v>78</v>
      </c>
      <c r="AR87" s="34">
        <f t="shared" si="69"/>
        <v>4019</v>
      </c>
      <c r="AS87" s="23">
        <v>40</v>
      </c>
      <c r="AT87" s="23">
        <v>19</v>
      </c>
      <c r="AU87" s="23">
        <v>0</v>
      </c>
    </row>
    <row r="88" spans="1:47">
      <c r="A88" s="26" t="s">
        <v>207</v>
      </c>
      <c r="B88" s="23">
        <v>12</v>
      </c>
      <c r="C88" s="23">
        <v>2</v>
      </c>
      <c r="E88" s="23" t="s">
        <v>60</v>
      </c>
      <c r="F88" s="23" t="s">
        <v>201</v>
      </c>
      <c r="G88" s="27">
        <v>2005</v>
      </c>
      <c r="H88" s="27">
        <v>20</v>
      </c>
      <c r="I88" s="27">
        <v>25</v>
      </c>
      <c r="J88" s="27">
        <v>20</v>
      </c>
      <c r="K88" s="27">
        <v>5</v>
      </c>
      <c r="L88" s="27">
        <v>5</v>
      </c>
      <c r="P88" s="28">
        <f t="shared" si="60"/>
        <v>10</v>
      </c>
      <c r="Q88" s="28">
        <f t="shared" si="61"/>
        <v>18.406285714285715</v>
      </c>
      <c r="R88" s="28">
        <f t="shared" si="62"/>
        <v>28.538285714285717</v>
      </c>
      <c r="S88" s="27">
        <v>110</v>
      </c>
      <c r="T88" s="29">
        <f t="shared" si="71"/>
        <v>263.84000000000003</v>
      </c>
      <c r="U88" s="27">
        <v>194</v>
      </c>
      <c r="V88" s="27">
        <v>9</v>
      </c>
      <c r="W88" s="27">
        <v>81</v>
      </c>
      <c r="X88" s="29">
        <f t="shared" si="70"/>
        <v>150</v>
      </c>
      <c r="Y88" s="27" t="s">
        <v>69</v>
      </c>
      <c r="Z88" s="27" t="s">
        <v>69</v>
      </c>
      <c r="AA88" s="29">
        <f t="shared" si="63"/>
        <v>4</v>
      </c>
      <c r="AB88" s="29">
        <f t="shared" si="64"/>
        <v>8</v>
      </c>
      <c r="AC88" s="29" t="str">
        <f t="shared" si="65"/>
        <v/>
      </c>
      <c r="AD88" s="29" t="str">
        <f t="shared" si="66"/>
        <v/>
      </c>
      <c r="AE88" s="29" t="str">
        <f t="shared" si="67"/>
        <v/>
      </c>
      <c r="AF88" s="29" t="str">
        <f t="shared" si="68"/>
        <v/>
      </c>
      <c r="AG88" s="27">
        <v>12</v>
      </c>
      <c r="AH88" s="27">
        <v>0</v>
      </c>
      <c r="AI88" s="27">
        <v>0</v>
      </c>
      <c r="AJ88" s="23" t="s">
        <v>184</v>
      </c>
      <c r="AK88" s="23" t="s">
        <v>207</v>
      </c>
      <c r="AL88" s="30">
        <v>12</v>
      </c>
      <c r="AN88" s="31" t="str">
        <f t="shared" si="72"/>
        <v>2 doors</v>
      </c>
      <c r="AO88" s="23" t="s">
        <v>66</v>
      </c>
      <c r="AP88" s="23" t="s">
        <v>211</v>
      </c>
      <c r="AQ88" s="23" t="s">
        <v>78</v>
      </c>
      <c r="AR88" s="34">
        <f t="shared" si="69"/>
        <v>4020</v>
      </c>
      <c r="AS88" s="23">
        <v>40</v>
      </c>
      <c r="AT88" s="23">
        <v>20</v>
      </c>
      <c r="AU88" s="23">
        <v>0</v>
      </c>
    </row>
    <row r="89" spans="1:47">
      <c r="A89" s="26" t="s">
        <v>165</v>
      </c>
      <c r="B89" s="23" t="s">
        <v>168</v>
      </c>
      <c r="C89" s="23">
        <v>2</v>
      </c>
      <c r="E89" s="23" t="s">
        <v>60</v>
      </c>
      <c r="F89" s="23" t="s">
        <v>170</v>
      </c>
      <c r="G89" s="27">
        <v>2012</v>
      </c>
      <c r="H89" s="27">
        <v>20</v>
      </c>
      <c r="I89" s="27">
        <v>25</v>
      </c>
      <c r="J89" s="27">
        <v>20</v>
      </c>
      <c r="K89" s="27">
        <v>6</v>
      </c>
      <c r="L89" s="27">
        <v>5</v>
      </c>
      <c r="P89" s="28">
        <f t="shared" si="60"/>
        <v>11</v>
      </c>
      <c r="Q89" s="28">
        <f t="shared" si="61"/>
        <v>19.565714285714286</v>
      </c>
      <c r="R89" s="28">
        <f t="shared" si="62"/>
        <v>30.785714285714285</v>
      </c>
      <c r="S89" s="27">
        <v>120</v>
      </c>
      <c r="T89" s="29">
        <f t="shared" si="71"/>
        <v>285.60000000000002</v>
      </c>
      <c r="U89" s="27">
        <v>210</v>
      </c>
      <c r="V89" s="27">
        <v>9</v>
      </c>
      <c r="W89" s="27">
        <v>81</v>
      </c>
      <c r="X89" s="29">
        <f t="shared" si="70"/>
        <v>150</v>
      </c>
      <c r="Y89" s="27" t="s">
        <v>69</v>
      </c>
      <c r="Z89" s="27" t="s">
        <v>69</v>
      </c>
      <c r="AA89" s="29">
        <f t="shared" si="63"/>
        <v>4</v>
      </c>
      <c r="AB89" s="29">
        <f t="shared" si="64"/>
        <v>8</v>
      </c>
      <c r="AC89" s="29" t="str">
        <f t="shared" si="65"/>
        <v/>
      </c>
      <c r="AD89" s="29" t="str">
        <f t="shared" si="66"/>
        <v/>
      </c>
      <c r="AE89" s="29" t="str">
        <f t="shared" si="67"/>
        <v/>
      </c>
      <c r="AF89" s="29" t="str">
        <f t="shared" si="68"/>
        <v/>
      </c>
      <c r="AG89" s="27">
        <v>12</v>
      </c>
      <c r="AH89" s="27">
        <v>0</v>
      </c>
      <c r="AI89" s="27">
        <v>0</v>
      </c>
      <c r="AJ89" s="23" t="s">
        <v>184</v>
      </c>
      <c r="AK89" s="23" t="s">
        <v>165</v>
      </c>
      <c r="AM89" s="30" t="s">
        <v>174</v>
      </c>
      <c r="AN89" s="31" t="str">
        <f t="shared" si="72"/>
        <v>2 doors</v>
      </c>
      <c r="AO89" s="23" t="s">
        <v>66</v>
      </c>
      <c r="AP89" s="23" t="s">
        <v>211</v>
      </c>
      <c r="AQ89" s="23" t="s">
        <v>78</v>
      </c>
      <c r="AR89" s="34">
        <f t="shared" si="69"/>
        <v>4021</v>
      </c>
      <c r="AS89" s="23">
        <v>40</v>
      </c>
      <c r="AT89" s="23">
        <v>21</v>
      </c>
      <c r="AU89" s="23">
        <v>0</v>
      </c>
    </row>
    <row r="90" spans="1:47">
      <c r="A90" s="26" t="s">
        <v>206</v>
      </c>
      <c r="B90" s="23" t="s">
        <v>203</v>
      </c>
      <c r="C90" s="23">
        <v>2</v>
      </c>
      <c r="E90" s="23" t="s">
        <v>60</v>
      </c>
      <c r="F90" s="23" t="s">
        <v>202</v>
      </c>
      <c r="G90" s="27">
        <v>2005</v>
      </c>
      <c r="H90" s="27">
        <v>20</v>
      </c>
      <c r="I90" s="27">
        <v>25</v>
      </c>
      <c r="J90" s="27">
        <v>20</v>
      </c>
      <c r="K90" s="27">
        <v>5</v>
      </c>
      <c r="L90" s="27">
        <v>5</v>
      </c>
      <c r="P90" s="28">
        <f t="shared" si="60"/>
        <v>10</v>
      </c>
      <c r="Q90" s="28">
        <f t="shared" si="61"/>
        <v>17.182285714285715</v>
      </c>
      <c r="R90" s="28">
        <f t="shared" si="62"/>
        <v>25.77695238095238</v>
      </c>
      <c r="S90" s="27">
        <v>100</v>
      </c>
      <c r="T90" s="29">
        <f t="shared" si="71"/>
        <v>239.36</v>
      </c>
      <c r="U90" s="27">
        <v>176</v>
      </c>
      <c r="V90" s="27">
        <v>9</v>
      </c>
      <c r="W90" s="27">
        <v>34</v>
      </c>
      <c r="X90" s="29">
        <f t="shared" si="70"/>
        <v>100</v>
      </c>
      <c r="Y90" s="27" t="s">
        <v>69</v>
      </c>
      <c r="Z90" s="27" t="s">
        <v>69</v>
      </c>
      <c r="AA90" s="29">
        <f t="shared" si="63"/>
        <v>2</v>
      </c>
      <c r="AB90" s="29">
        <f t="shared" si="64"/>
        <v>8</v>
      </c>
      <c r="AC90" s="29" t="str">
        <f t="shared" si="65"/>
        <v/>
      </c>
      <c r="AD90" s="29" t="str">
        <f t="shared" si="66"/>
        <v/>
      </c>
      <c r="AE90" s="29" t="str">
        <f t="shared" si="67"/>
        <v/>
      </c>
      <c r="AF90" s="29" t="str">
        <f t="shared" si="68"/>
        <v/>
      </c>
      <c r="AG90" s="27">
        <v>10</v>
      </c>
      <c r="AH90" s="27">
        <v>0</v>
      </c>
      <c r="AI90" s="27">
        <v>0</v>
      </c>
      <c r="AJ90" s="23" t="s">
        <v>184</v>
      </c>
      <c r="AK90" s="23" t="s">
        <v>209</v>
      </c>
      <c r="AL90" s="30">
        <v>9.5</v>
      </c>
      <c r="AN90" s="31" t="str">
        <f t="shared" si="72"/>
        <v>2 doors</v>
      </c>
      <c r="AO90" s="23" t="s">
        <v>212</v>
      </c>
      <c r="AP90" s="23" t="s">
        <v>214</v>
      </c>
      <c r="AQ90" s="23" t="s">
        <v>78</v>
      </c>
      <c r="AR90" s="34">
        <f t="shared" si="69"/>
        <v>4022</v>
      </c>
      <c r="AS90" s="23">
        <v>40</v>
      </c>
      <c r="AT90" s="23">
        <v>22</v>
      </c>
      <c r="AU90" s="23">
        <v>0</v>
      </c>
    </row>
    <row r="91" spans="1:47">
      <c r="A91" s="26" t="s">
        <v>206</v>
      </c>
      <c r="B91" s="23" t="s">
        <v>204</v>
      </c>
      <c r="C91" s="23">
        <v>2</v>
      </c>
      <c r="E91" s="23" t="s">
        <v>60</v>
      </c>
      <c r="F91" s="23" t="s">
        <v>197</v>
      </c>
      <c r="G91" s="27">
        <v>2003</v>
      </c>
      <c r="H91" s="27">
        <v>20</v>
      </c>
      <c r="I91" s="27">
        <v>25</v>
      </c>
      <c r="J91" s="27">
        <v>20</v>
      </c>
      <c r="K91" s="27">
        <v>5</v>
      </c>
      <c r="L91" s="27">
        <v>5</v>
      </c>
      <c r="P91" s="28">
        <f t="shared" si="60"/>
        <v>10</v>
      </c>
      <c r="Q91" s="28">
        <f t="shared" si="61"/>
        <v>17.182285714285715</v>
      </c>
      <c r="R91" s="28">
        <f t="shared" si="62"/>
        <v>25.850285714285718</v>
      </c>
      <c r="S91" s="27">
        <v>100</v>
      </c>
      <c r="T91" s="29">
        <f t="shared" si="71"/>
        <v>239.36</v>
      </c>
      <c r="U91" s="27">
        <v>176</v>
      </c>
      <c r="V91" s="27">
        <v>9</v>
      </c>
      <c r="W91" s="27">
        <v>45</v>
      </c>
      <c r="X91" s="29">
        <f t="shared" si="70"/>
        <v>100</v>
      </c>
      <c r="Y91" s="27" t="s">
        <v>69</v>
      </c>
      <c r="Z91" s="27" t="s">
        <v>69</v>
      </c>
      <c r="AA91" s="29">
        <f t="shared" si="63"/>
        <v>3</v>
      </c>
      <c r="AB91" s="29">
        <f t="shared" si="64"/>
        <v>8</v>
      </c>
      <c r="AC91" s="29" t="str">
        <f t="shared" si="65"/>
        <v/>
      </c>
      <c r="AD91" s="29" t="str">
        <f t="shared" si="66"/>
        <v/>
      </c>
      <c r="AE91" s="29" t="str">
        <f t="shared" si="67"/>
        <v/>
      </c>
      <c r="AF91" s="29" t="str">
        <f t="shared" si="68"/>
        <v/>
      </c>
      <c r="AG91" s="27">
        <v>11</v>
      </c>
      <c r="AH91" s="27">
        <v>0</v>
      </c>
      <c r="AI91" s="27">
        <v>0</v>
      </c>
      <c r="AJ91" s="23" t="s">
        <v>184</v>
      </c>
      <c r="AK91" s="23" t="s">
        <v>209</v>
      </c>
      <c r="AL91" s="30">
        <v>11</v>
      </c>
      <c r="AN91" s="31" t="str">
        <f t="shared" si="72"/>
        <v>2 doors</v>
      </c>
      <c r="AO91" s="23" t="s">
        <v>213</v>
      </c>
      <c r="AP91" s="23" t="s">
        <v>214</v>
      </c>
      <c r="AQ91" s="23" t="s">
        <v>78</v>
      </c>
      <c r="AR91" s="34">
        <f t="shared" si="69"/>
        <v>4023</v>
      </c>
      <c r="AS91" s="23">
        <v>40</v>
      </c>
      <c r="AT91" s="23">
        <v>23</v>
      </c>
      <c r="AU91" s="23">
        <v>0</v>
      </c>
    </row>
    <row r="92" spans="1:47">
      <c r="A92" s="26" t="s">
        <v>209</v>
      </c>
      <c r="B92" s="23">
        <v>12</v>
      </c>
      <c r="C92" s="23">
        <v>2</v>
      </c>
      <c r="E92" s="23" t="s">
        <v>60</v>
      </c>
      <c r="F92" s="23" t="s">
        <v>210</v>
      </c>
      <c r="G92" s="27">
        <v>2008</v>
      </c>
      <c r="H92" s="27">
        <v>20</v>
      </c>
      <c r="I92" s="27">
        <v>25</v>
      </c>
      <c r="J92" s="27">
        <v>20</v>
      </c>
      <c r="K92" s="27">
        <v>5</v>
      </c>
      <c r="L92" s="27">
        <v>5</v>
      </c>
      <c r="P92" s="28">
        <f t="shared" si="60"/>
        <v>10</v>
      </c>
      <c r="Q92" s="28">
        <f t="shared" si="61"/>
        <v>18.906285714285715</v>
      </c>
      <c r="R92" s="28">
        <f t="shared" si="62"/>
        <v>28.438285714285715</v>
      </c>
      <c r="S92" s="27">
        <v>110</v>
      </c>
      <c r="T92" s="29">
        <f t="shared" si="71"/>
        <v>263.84000000000003</v>
      </c>
      <c r="U92" s="27">
        <v>194</v>
      </c>
      <c r="V92" s="27">
        <v>10</v>
      </c>
      <c r="W92" s="27">
        <v>51</v>
      </c>
      <c r="X92" s="29">
        <f t="shared" si="70"/>
        <v>100</v>
      </c>
      <c r="Y92" s="27" t="s">
        <v>69</v>
      </c>
      <c r="Z92" s="27" t="s">
        <v>69</v>
      </c>
      <c r="AA92" s="29">
        <f t="shared" si="63"/>
        <v>4</v>
      </c>
      <c r="AB92" s="29">
        <f t="shared" si="64"/>
        <v>8</v>
      </c>
      <c r="AC92" s="29" t="str">
        <f t="shared" si="65"/>
        <v/>
      </c>
      <c r="AD92" s="29" t="str">
        <f t="shared" si="66"/>
        <v/>
      </c>
      <c r="AE92" s="29" t="str">
        <f t="shared" si="67"/>
        <v/>
      </c>
      <c r="AF92" s="29" t="str">
        <f t="shared" si="68"/>
        <v/>
      </c>
      <c r="AG92" s="27">
        <v>12</v>
      </c>
      <c r="AH92" s="27">
        <v>0</v>
      </c>
      <c r="AI92" s="27">
        <v>0</v>
      </c>
      <c r="AJ92" s="23" t="s">
        <v>184</v>
      </c>
      <c r="AK92" s="23" t="s">
        <v>209</v>
      </c>
      <c r="AL92" s="30">
        <v>12</v>
      </c>
      <c r="AN92" s="31" t="str">
        <f t="shared" si="72"/>
        <v>2 doors</v>
      </c>
      <c r="AO92" s="23" t="s">
        <v>66</v>
      </c>
      <c r="AP92" s="23" t="s">
        <v>214</v>
      </c>
      <c r="AQ92" s="23" t="s">
        <v>78</v>
      </c>
      <c r="AR92" s="34">
        <f t="shared" si="69"/>
        <v>4024</v>
      </c>
      <c r="AS92" s="23">
        <v>40</v>
      </c>
      <c r="AT92" s="23">
        <v>24</v>
      </c>
      <c r="AU92" s="23">
        <v>0</v>
      </c>
    </row>
    <row r="93" spans="1:47">
      <c r="A93" s="26" t="s">
        <v>166</v>
      </c>
      <c r="B93" s="23">
        <v>10</v>
      </c>
      <c r="C93" s="23">
        <v>2</v>
      </c>
      <c r="E93" s="23" t="s">
        <v>60</v>
      </c>
      <c r="F93" s="23" t="s">
        <v>172</v>
      </c>
      <c r="G93" s="27">
        <v>2016</v>
      </c>
      <c r="H93" s="27">
        <v>20</v>
      </c>
      <c r="I93" s="27">
        <v>25</v>
      </c>
      <c r="J93" s="27">
        <v>20</v>
      </c>
      <c r="K93" s="27">
        <v>6</v>
      </c>
      <c r="L93" s="27">
        <v>5</v>
      </c>
      <c r="P93" s="28">
        <f t="shared" si="60"/>
        <v>11</v>
      </c>
      <c r="Q93" s="28">
        <f t="shared" si="61"/>
        <v>21.265714285714285</v>
      </c>
      <c r="R93" s="28">
        <f t="shared" si="62"/>
        <v>34.032380952380954</v>
      </c>
      <c r="S93" s="27">
        <v>120</v>
      </c>
      <c r="T93" s="29">
        <f t="shared" si="71"/>
        <v>319.60000000000002</v>
      </c>
      <c r="U93" s="27">
        <v>235</v>
      </c>
      <c r="V93" s="27">
        <v>9</v>
      </c>
      <c r="W93" s="27">
        <v>58</v>
      </c>
      <c r="X93" s="29">
        <f t="shared" si="70"/>
        <v>100</v>
      </c>
      <c r="Y93" s="27" t="s">
        <v>69</v>
      </c>
      <c r="Z93" s="27" t="s">
        <v>69</v>
      </c>
      <c r="AA93" s="29">
        <f t="shared" si="63"/>
        <v>2</v>
      </c>
      <c r="AB93" s="29">
        <f t="shared" si="64"/>
        <v>8</v>
      </c>
      <c r="AC93" s="29" t="str">
        <f t="shared" si="65"/>
        <v/>
      </c>
      <c r="AD93" s="29" t="str">
        <f t="shared" si="66"/>
        <v/>
      </c>
      <c r="AE93" s="29" t="str">
        <f t="shared" si="67"/>
        <v/>
      </c>
      <c r="AF93" s="29" t="str">
        <f t="shared" si="68"/>
        <v/>
      </c>
      <c r="AG93" s="27">
        <v>10</v>
      </c>
      <c r="AH93" s="27">
        <v>0</v>
      </c>
      <c r="AI93" s="27">
        <v>0</v>
      </c>
      <c r="AJ93" s="23" t="s">
        <v>184</v>
      </c>
      <c r="AK93" s="23" t="s">
        <v>166</v>
      </c>
      <c r="AM93" s="23">
        <v>10</v>
      </c>
      <c r="AN93" s="31" t="str">
        <f t="shared" si="72"/>
        <v>2 doors</v>
      </c>
      <c r="AO93" s="23" t="s">
        <v>67</v>
      </c>
      <c r="AP93" s="23" t="s">
        <v>214</v>
      </c>
      <c r="AQ93" s="23" t="s">
        <v>78</v>
      </c>
      <c r="AR93" s="34">
        <f t="shared" si="69"/>
        <v>4025</v>
      </c>
      <c r="AS93" s="23">
        <v>40</v>
      </c>
      <c r="AT93" s="23">
        <v>25</v>
      </c>
      <c r="AU93" s="23">
        <v>0</v>
      </c>
    </row>
    <row r="94" spans="1:47">
      <c r="A94" s="26" t="s">
        <v>166</v>
      </c>
      <c r="B94" s="23">
        <v>12</v>
      </c>
      <c r="C94" s="23">
        <v>2</v>
      </c>
      <c r="E94" s="23" t="s">
        <v>60</v>
      </c>
      <c r="F94" s="23" t="s">
        <v>171</v>
      </c>
      <c r="G94" s="27">
        <v>2012</v>
      </c>
      <c r="H94" s="27">
        <v>20</v>
      </c>
      <c r="I94" s="27">
        <v>25</v>
      </c>
      <c r="J94" s="27">
        <v>20</v>
      </c>
      <c r="K94" s="27">
        <v>6</v>
      </c>
      <c r="L94" s="27">
        <v>5</v>
      </c>
      <c r="P94" s="28">
        <f t="shared" si="60"/>
        <v>11</v>
      </c>
      <c r="Q94" s="28">
        <f t="shared" si="61"/>
        <v>21.765714285714285</v>
      </c>
      <c r="R94" s="28">
        <f t="shared" si="62"/>
        <v>34.272380952380949</v>
      </c>
      <c r="S94" s="27">
        <v>120</v>
      </c>
      <c r="T94" s="29">
        <f t="shared" si="71"/>
        <v>319.60000000000002</v>
      </c>
      <c r="U94" s="27">
        <v>235</v>
      </c>
      <c r="V94" s="27">
        <v>10</v>
      </c>
      <c r="W94" s="27">
        <v>79</v>
      </c>
      <c r="X94" s="29">
        <f t="shared" si="70"/>
        <v>100</v>
      </c>
      <c r="Y94" s="27" t="s">
        <v>69</v>
      </c>
      <c r="Z94" s="27" t="s">
        <v>69</v>
      </c>
      <c r="AA94" s="29">
        <f t="shared" si="63"/>
        <v>4</v>
      </c>
      <c r="AB94" s="29">
        <f t="shared" si="64"/>
        <v>8</v>
      </c>
      <c r="AC94" s="29" t="str">
        <f t="shared" si="65"/>
        <v/>
      </c>
      <c r="AD94" s="29" t="str">
        <f t="shared" si="66"/>
        <v/>
      </c>
      <c r="AE94" s="29" t="str">
        <f t="shared" si="67"/>
        <v/>
      </c>
      <c r="AF94" s="29" t="str">
        <f t="shared" si="68"/>
        <v/>
      </c>
      <c r="AG94" s="27">
        <v>12</v>
      </c>
      <c r="AH94" s="27">
        <v>0</v>
      </c>
      <c r="AI94" s="27">
        <v>0</v>
      </c>
      <c r="AJ94" s="23" t="s">
        <v>184</v>
      </c>
      <c r="AK94" s="23" t="s">
        <v>166</v>
      </c>
      <c r="AM94" s="23">
        <v>12</v>
      </c>
      <c r="AN94" s="31" t="str">
        <f t="shared" si="72"/>
        <v>2 doors</v>
      </c>
      <c r="AO94" s="23" t="s">
        <v>66</v>
      </c>
      <c r="AP94" s="23" t="s">
        <v>214</v>
      </c>
      <c r="AQ94" s="23" t="s">
        <v>78</v>
      </c>
      <c r="AR94" s="34">
        <f t="shared" si="69"/>
        <v>4026</v>
      </c>
      <c r="AS94" s="23">
        <v>40</v>
      </c>
      <c r="AT94" s="23">
        <v>26</v>
      </c>
      <c r="AU94" s="23">
        <v>0</v>
      </c>
    </row>
    <row r="95" spans="1:47">
      <c r="A95" s="26" t="s">
        <v>215</v>
      </c>
      <c r="B95" s="23">
        <v>12</v>
      </c>
      <c r="C95" s="23">
        <v>2</v>
      </c>
      <c r="E95" s="23" t="s">
        <v>60</v>
      </c>
      <c r="H95" s="27">
        <v>20</v>
      </c>
      <c r="I95" s="27">
        <v>25</v>
      </c>
      <c r="J95" s="27">
        <v>20</v>
      </c>
      <c r="P95" s="28">
        <f t="shared" si="60"/>
        <v>0</v>
      </c>
      <c r="Q95" s="28">
        <f t="shared" si="61"/>
        <v>0</v>
      </c>
      <c r="R95" s="28">
        <f t="shared" si="62"/>
        <v>0</v>
      </c>
      <c r="S95" s="27">
        <v>80</v>
      </c>
      <c r="T95" s="29">
        <f>U95*1.341</f>
        <v>0</v>
      </c>
      <c r="X95" s="29">
        <f t="shared" si="70"/>
        <v>200</v>
      </c>
      <c r="AA95" s="29">
        <f t="shared" si="63"/>
        <v>0</v>
      </c>
      <c r="AB95" s="29" t="str">
        <f t="shared" si="64"/>
        <v/>
      </c>
      <c r="AC95" s="29" t="str">
        <f t="shared" si="65"/>
        <v/>
      </c>
      <c r="AD95" s="29" t="str">
        <f t="shared" si="66"/>
        <v/>
      </c>
      <c r="AE95" s="29" t="str">
        <f t="shared" si="67"/>
        <v/>
      </c>
      <c r="AF95" s="29" t="str">
        <f t="shared" si="68"/>
        <v/>
      </c>
      <c r="AG95" s="27">
        <v>0</v>
      </c>
      <c r="AH95" s="27">
        <v>0</v>
      </c>
      <c r="AI95" s="27">
        <v>0</v>
      </c>
      <c r="AN95" s="31" t="str">
        <f>C95 &amp; " doors"</f>
        <v>2 doors</v>
      </c>
      <c r="AR95" s="32">
        <f t="shared" si="69"/>
        <v>4027</v>
      </c>
      <c r="AS95" s="23">
        <v>40</v>
      </c>
      <c r="AT95" s="23">
        <v>27</v>
      </c>
      <c r="AU95" s="23">
        <v>0</v>
      </c>
    </row>
    <row r="96" spans="1:47">
      <c r="A96" s="26" t="s">
        <v>215</v>
      </c>
      <c r="B96" s="23">
        <v>18</v>
      </c>
      <c r="C96" s="23">
        <v>3</v>
      </c>
      <c r="E96" s="23" t="s">
        <v>60</v>
      </c>
      <c r="H96" s="27">
        <v>20</v>
      </c>
      <c r="I96" s="27">
        <v>25</v>
      </c>
      <c r="J96" s="27">
        <v>20</v>
      </c>
      <c r="P96" s="28">
        <f t="shared" si="60"/>
        <v>0</v>
      </c>
      <c r="Q96" s="28">
        <f t="shared" si="61"/>
        <v>0</v>
      </c>
      <c r="R96" s="28">
        <f t="shared" si="62"/>
        <v>0</v>
      </c>
      <c r="S96" s="27">
        <v>80</v>
      </c>
      <c r="T96" s="29">
        <f>U96*1.341</f>
        <v>0</v>
      </c>
      <c r="X96" s="29">
        <f t="shared" si="70"/>
        <v>200</v>
      </c>
      <c r="AA96" s="29">
        <f t="shared" si="63"/>
        <v>0</v>
      </c>
      <c r="AB96" s="29" t="str">
        <f t="shared" si="64"/>
        <v/>
      </c>
      <c r="AC96" s="29" t="str">
        <f t="shared" si="65"/>
        <v/>
      </c>
      <c r="AD96" s="29" t="str">
        <f t="shared" si="66"/>
        <v/>
      </c>
      <c r="AE96" s="29" t="str">
        <f t="shared" si="67"/>
        <v/>
      </c>
      <c r="AF96" s="29" t="str">
        <f t="shared" si="68"/>
        <v/>
      </c>
      <c r="AG96" s="27">
        <v>0</v>
      </c>
      <c r="AH96" s="27">
        <v>0</v>
      </c>
      <c r="AI96" s="27">
        <v>0</v>
      </c>
      <c r="AN96" s="31" t="str">
        <f>C96 &amp; " doors"</f>
        <v>3 doors</v>
      </c>
      <c r="AR96" s="32">
        <f t="shared" si="69"/>
        <v>4028</v>
      </c>
      <c r="AS96" s="23">
        <v>40</v>
      </c>
      <c r="AT96" s="23">
        <v>28</v>
      </c>
      <c r="AU96" s="23">
        <v>0</v>
      </c>
    </row>
    <row r="97" spans="1:47">
      <c r="A97" s="26" t="s">
        <v>228</v>
      </c>
      <c r="B97" s="23" t="s">
        <v>55</v>
      </c>
      <c r="C97" s="23">
        <v>3</v>
      </c>
      <c r="E97" s="23" t="s">
        <v>60</v>
      </c>
      <c r="F97" s="23" t="s">
        <v>288</v>
      </c>
      <c r="G97" s="27">
        <v>2003</v>
      </c>
      <c r="H97" s="27">
        <v>20</v>
      </c>
      <c r="I97" s="27">
        <v>25</v>
      </c>
      <c r="J97" s="27">
        <v>20</v>
      </c>
      <c r="K97" s="27">
        <v>10</v>
      </c>
      <c r="L97" s="27">
        <v>10</v>
      </c>
      <c r="M97" s="27">
        <v>10</v>
      </c>
      <c r="P97" s="28">
        <f t="shared" si="60"/>
        <v>30</v>
      </c>
      <c r="Q97" s="28">
        <f t="shared" si="61"/>
        <v>21.378857142857143</v>
      </c>
      <c r="R97" s="28">
        <f t="shared" si="62"/>
        <v>31.421523809523812</v>
      </c>
      <c r="S97" s="27">
        <v>70</v>
      </c>
      <c r="T97" s="29">
        <f t="shared" ref="T97:T129" si="73">U97*1.36</f>
        <v>274.72000000000003</v>
      </c>
      <c r="U97" s="27">
        <v>202</v>
      </c>
      <c r="V97" s="27">
        <v>11</v>
      </c>
      <c r="W97" s="27">
        <v>106</v>
      </c>
      <c r="X97" s="29">
        <f t="shared" si="70"/>
        <v>200</v>
      </c>
      <c r="Y97" s="27" t="s">
        <v>69</v>
      </c>
      <c r="Z97" s="27" t="s">
        <v>69</v>
      </c>
      <c r="AA97" s="29">
        <f t="shared" si="63"/>
        <v>5</v>
      </c>
      <c r="AB97" s="29">
        <f t="shared" si="64"/>
        <v>8</v>
      </c>
      <c r="AC97" s="29" t="str">
        <f t="shared" si="65"/>
        <v/>
      </c>
      <c r="AD97" s="29" t="str">
        <f t="shared" si="66"/>
        <v/>
      </c>
      <c r="AE97" s="29" t="str">
        <f t="shared" si="67"/>
        <v/>
      </c>
      <c r="AF97" s="29" t="str">
        <f t="shared" si="68"/>
        <v/>
      </c>
      <c r="AG97" s="27">
        <v>13</v>
      </c>
      <c r="AH97" s="27">
        <v>0</v>
      </c>
      <c r="AI97" s="27">
        <v>0</v>
      </c>
      <c r="AJ97" s="23" t="s">
        <v>279</v>
      </c>
      <c r="AK97" s="23" t="s">
        <v>228</v>
      </c>
      <c r="AN97" s="31" t="str">
        <f t="shared" ref="AN97:AN129" si="74">IF(O97&gt;0, "5 doors", IF(N97&gt;0, "4 doors", IF(M97&gt;0, "3 doors", IF(L97&gt;0, "2 doors", "1 door"))))</f>
        <v>3 doors</v>
      </c>
      <c r="AO97" s="23" t="s">
        <v>283</v>
      </c>
      <c r="AP97" s="23" t="s">
        <v>71</v>
      </c>
      <c r="AQ97" s="23" t="s">
        <v>78</v>
      </c>
      <c r="AR97" s="34">
        <f t="shared" si="69"/>
        <v>4100</v>
      </c>
      <c r="AS97" s="23">
        <v>41</v>
      </c>
      <c r="AT97" s="23">
        <v>0</v>
      </c>
      <c r="AU97" s="23">
        <v>0</v>
      </c>
    </row>
    <row r="98" spans="1:47">
      <c r="A98" s="26" t="s">
        <v>228</v>
      </c>
      <c r="B98" s="23" t="s">
        <v>55</v>
      </c>
      <c r="C98" s="23">
        <v>3</v>
      </c>
      <c r="E98" s="23" t="s">
        <v>60</v>
      </c>
      <c r="F98" s="23" t="s">
        <v>288</v>
      </c>
      <c r="G98" s="27">
        <v>2003</v>
      </c>
      <c r="H98" s="27">
        <v>20</v>
      </c>
      <c r="I98" s="27">
        <v>25</v>
      </c>
      <c r="J98" s="27">
        <v>20</v>
      </c>
      <c r="K98" s="27">
        <v>10</v>
      </c>
      <c r="L98" s="27">
        <v>10</v>
      </c>
      <c r="M98" s="27">
        <v>10</v>
      </c>
      <c r="P98" s="28">
        <f t="shared" si="60"/>
        <v>30</v>
      </c>
      <c r="Q98" s="28">
        <f t="shared" si="61"/>
        <v>21.378857142857143</v>
      </c>
      <c r="R98" s="28">
        <f t="shared" si="62"/>
        <v>31.421523809523812</v>
      </c>
      <c r="S98" s="27">
        <v>70</v>
      </c>
      <c r="T98" s="29">
        <f t="shared" si="73"/>
        <v>274.72000000000003</v>
      </c>
      <c r="U98" s="27">
        <v>202</v>
      </c>
      <c r="V98" s="27">
        <v>11</v>
      </c>
      <c r="W98" s="27">
        <v>106</v>
      </c>
      <c r="X98" s="29">
        <f t="shared" si="70"/>
        <v>200</v>
      </c>
      <c r="Y98" s="27" t="s">
        <v>287</v>
      </c>
      <c r="Z98" s="27" t="s">
        <v>287</v>
      </c>
      <c r="AA98" s="29">
        <f t="shared" si="63"/>
        <v>5</v>
      </c>
      <c r="AB98" s="29">
        <f t="shared" si="64"/>
        <v>8</v>
      </c>
      <c r="AC98" s="29" t="str">
        <f t="shared" si="65"/>
        <v/>
      </c>
      <c r="AD98" s="29" t="str">
        <f t="shared" si="66"/>
        <v/>
      </c>
      <c r="AE98" s="29" t="str">
        <f t="shared" si="67"/>
        <v/>
      </c>
      <c r="AF98" s="29" t="str">
        <f t="shared" si="68"/>
        <v/>
      </c>
      <c r="AG98" s="27">
        <v>13</v>
      </c>
      <c r="AH98" s="27">
        <v>0</v>
      </c>
      <c r="AI98" s="27">
        <v>0</v>
      </c>
      <c r="AJ98" s="23" t="s">
        <v>279</v>
      </c>
      <c r="AK98" s="23" t="s">
        <v>228</v>
      </c>
      <c r="AN98" s="31" t="str">
        <f t="shared" si="74"/>
        <v>3 doors</v>
      </c>
      <c r="AO98" s="23" t="s">
        <v>283</v>
      </c>
      <c r="AP98" s="23" t="s">
        <v>71</v>
      </c>
      <c r="AQ98" s="23" t="s">
        <v>191</v>
      </c>
      <c r="AR98" s="34">
        <f t="shared" si="69"/>
        <v>4100.01</v>
      </c>
      <c r="AS98" s="23">
        <v>41</v>
      </c>
      <c r="AT98" s="23">
        <v>0</v>
      </c>
      <c r="AU98" s="23">
        <v>1</v>
      </c>
    </row>
    <row r="99" spans="1:47">
      <c r="A99" s="26" t="s">
        <v>229</v>
      </c>
      <c r="B99" s="23" t="s">
        <v>55</v>
      </c>
      <c r="C99" s="23">
        <v>2</v>
      </c>
      <c r="E99" s="23" t="s">
        <v>60</v>
      </c>
      <c r="F99" s="23" t="s">
        <v>289</v>
      </c>
      <c r="G99" s="27">
        <v>2003</v>
      </c>
      <c r="H99" s="27">
        <v>20</v>
      </c>
      <c r="I99" s="27">
        <v>25</v>
      </c>
      <c r="J99" s="27">
        <v>20</v>
      </c>
      <c r="K99" s="27">
        <v>5</v>
      </c>
      <c r="L99" s="27">
        <v>10</v>
      </c>
      <c r="P99" s="28">
        <f t="shared" si="60"/>
        <v>15</v>
      </c>
      <c r="Q99" s="28">
        <f t="shared" si="61"/>
        <v>23.571428571428573</v>
      </c>
      <c r="R99" s="28">
        <f t="shared" si="62"/>
        <v>36.878095238095234</v>
      </c>
      <c r="S99" s="27">
        <v>90</v>
      </c>
      <c r="T99" s="29">
        <f t="shared" si="73"/>
        <v>340</v>
      </c>
      <c r="U99" s="27">
        <v>250</v>
      </c>
      <c r="V99" s="27">
        <v>11</v>
      </c>
      <c r="W99" s="27">
        <v>106</v>
      </c>
      <c r="X99" s="29">
        <f t="shared" si="70"/>
        <v>185</v>
      </c>
      <c r="Y99" s="27" t="s">
        <v>69</v>
      </c>
      <c r="Z99" s="27" t="s">
        <v>69</v>
      </c>
      <c r="AA99" s="29">
        <f t="shared" si="63"/>
        <v>6</v>
      </c>
      <c r="AB99" s="29">
        <f t="shared" si="64"/>
        <v>8</v>
      </c>
      <c r="AC99" s="29" t="str">
        <f t="shared" si="65"/>
        <v/>
      </c>
      <c r="AD99" s="29" t="str">
        <f t="shared" si="66"/>
        <v/>
      </c>
      <c r="AE99" s="29" t="str">
        <f t="shared" si="67"/>
        <v/>
      </c>
      <c r="AF99" s="29" t="str">
        <f t="shared" si="68"/>
        <v/>
      </c>
      <c r="AG99" s="27">
        <v>14</v>
      </c>
      <c r="AH99" s="27">
        <v>0</v>
      </c>
      <c r="AI99" s="27">
        <v>0</v>
      </c>
      <c r="AJ99" s="23" t="s">
        <v>279</v>
      </c>
      <c r="AK99" s="23" t="s">
        <v>229</v>
      </c>
      <c r="AL99" s="30">
        <v>13.5</v>
      </c>
      <c r="AN99" s="31" t="str">
        <f t="shared" si="74"/>
        <v>2 doors</v>
      </c>
      <c r="AO99" s="23" t="s">
        <v>284</v>
      </c>
      <c r="AP99" s="23" t="s">
        <v>89</v>
      </c>
      <c r="AQ99" s="23" t="s">
        <v>78</v>
      </c>
      <c r="AR99" s="34">
        <f t="shared" si="69"/>
        <v>4101</v>
      </c>
      <c r="AS99" s="23">
        <v>41</v>
      </c>
      <c r="AT99" s="23">
        <v>1</v>
      </c>
      <c r="AU99" s="23">
        <v>0</v>
      </c>
    </row>
    <row r="100" spans="1:47">
      <c r="A100" s="26" t="s">
        <v>229</v>
      </c>
      <c r="B100" s="23" t="s">
        <v>55</v>
      </c>
      <c r="C100" s="23">
        <v>2</v>
      </c>
      <c r="E100" s="23" t="s">
        <v>60</v>
      </c>
      <c r="F100" s="23" t="s">
        <v>289</v>
      </c>
      <c r="G100" s="27">
        <v>2003</v>
      </c>
      <c r="H100" s="27">
        <v>20</v>
      </c>
      <c r="I100" s="27">
        <v>25</v>
      </c>
      <c r="J100" s="27">
        <v>20</v>
      </c>
      <c r="K100" s="27">
        <v>5</v>
      </c>
      <c r="L100" s="27">
        <v>10</v>
      </c>
      <c r="P100" s="28">
        <f t="shared" si="60"/>
        <v>15</v>
      </c>
      <c r="Q100" s="28">
        <f t="shared" si="61"/>
        <v>23.571428571428573</v>
      </c>
      <c r="R100" s="28">
        <f t="shared" si="62"/>
        <v>36.878095238095234</v>
      </c>
      <c r="S100" s="27">
        <v>90</v>
      </c>
      <c r="T100" s="29">
        <f t="shared" si="73"/>
        <v>340</v>
      </c>
      <c r="U100" s="27">
        <v>250</v>
      </c>
      <c r="V100" s="27">
        <v>11</v>
      </c>
      <c r="W100" s="27">
        <v>106</v>
      </c>
      <c r="X100" s="29">
        <f t="shared" si="70"/>
        <v>185</v>
      </c>
      <c r="Y100" s="27" t="s">
        <v>102</v>
      </c>
      <c r="Z100" s="27" t="s">
        <v>102</v>
      </c>
      <c r="AA100" s="29">
        <f t="shared" si="63"/>
        <v>6</v>
      </c>
      <c r="AB100" s="29">
        <f t="shared" si="64"/>
        <v>8</v>
      </c>
      <c r="AC100" s="29" t="str">
        <f t="shared" si="65"/>
        <v/>
      </c>
      <c r="AD100" s="29" t="str">
        <f t="shared" si="66"/>
        <v/>
      </c>
      <c r="AE100" s="29" t="str">
        <f t="shared" si="67"/>
        <v/>
      </c>
      <c r="AF100" s="29" t="str">
        <f t="shared" si="68"/>
        <v/>
      </c>
      <c r="AG100" s="27">
        <v>14</v>
      </c>
      <c r="AH100" s="27">
        <v>0</v>
      </c>
      <c r="AI100" s="27">
        <v>0</v>
      </c>
      <c r="AJ100" s="23" t="s">
        <v>279</v>
      </c>
      <c r="AK100" s="23" t="s">
        <v>229</v>
      </c>
      <c r="AL100" s="30">
        <v>13.5</v>
      </c>
      <c r="AN100" s="31" t="str">
        <f t="shared" si="74"/>
        <v>2 doors</v>
      </c>
      <c r="AO100" s="23" t="s">
        <v>284</v>
      </c>
      <c r="AP100" s="23" t="s">
        <v>89</v>
      </c>
      <c r="AQ100" s="23" t="s">
        <v>78</v>
      </c>
      <c r="AR100" s="34">
        <f t="shared" si="69"/>
        <v>4101.01</v>
      </c>
      <c r="AS100" s="23">
        <v>41</v>
      </c>
      <c r="AT100" s="23">
        <v>1</v>
      </c>
      <c r="AU100" s="23">
        <v>1</v>
      </c>
    </row>
    <row r="101" spans="1:47">
      <c r="A101" s="26" t="s">
        <v>227</v>
      </c>
      <c r="B101" s="23" t="s">
        <v>55</v>
      </c>
      <c r="C101" s="23">
        <v>3</v>
      </c>
      <c r="E101" s="23" t="s">
        <v>60</v>
      </c>
      <c r="F101" s="23" t="s">
        <v>286</v>
      </c>
      <c r="G101" s="27">
        <v>2009</v>
      </c>
      <c r="H101" s="27">
        <v>20</v>
      </c>
      <c r="I101" s="27">
        <v>25</v>
      </c>
      <c r="J101" s="27">
        <v>20</v>
      </c>
      <c r="K101" s="27">
        <v>14</v>
      </c>
      <c r="L101" s="27">
        <v>14</v>
      </c>
      <c r="M101" s="27">
        <v>14</v>
      </c>
      <c r="P101" s="28">
        <f t="shared" si="60"/>
        <v>42</v>
      </c>
      <c r="Q101" s="28">
        <f t="shared" si="61"/>
        <v>24.504000000000001</v>
      </c>
      <c r="R101" s="28">
        <f t="shared" si="62"/>
        <v>35.881333333333338</v>
      </c>
      <c r="S101" s="27">
        <v>70</v>
      </c>
      <c r="T101" s="29">
        <f t="shared" si="73"/>
        <v>310.08000000000004</v>
      </c>
      <c r="U101" s="27">
        <v>228</v>
      </c>
      <c r="V101" s="27">
        <v>12</v>
      </c>
      <c r="W101" s="27">
        <v>101</v>
      </c>
      <c r="X101" s="29">
        <f t="shared" si="70"/>
        <v>200</v>
      </c>
      <c r="Y101" s="27" t="s">
        <v>69</v>
      </c>
      <c r="Z101" s="27" t="s">
        <v>69</v>
      </c>
      <c r="AA101" s="29">
        <f t="shared" si="63"/>
        <v>5</v>
      </c>
      <c r="AB101" s="29">
        <f t="shared" si="64"/>
        <v>8</v>
      </c>
      <c r="AC101" s="29" t="str">
        <f t="shared" si="65"/>
        <v/>
      </c>
      <c r="AD101" s="29" t="str">
        <f t="shared" si="66"/>
        <v/>
      </c>
      <c r="AE101" s="29" t="str">
        <f t="shared" si="67"/>
        <v/>
      </c>
      <c r="AF101" s="29" t="str">
        <f t="shared" si="68"/>
        <v/>
      </c>
      <c r="AG101" s="27">
        <v>13</v>
      </c>
      <c r="AH101" s="27">
        <v>0</v>
      </c>
      <c r="AI101" s="27">
        <v>0</v>
      </c>
      <c r="AJ101" s="23" t="s">
        <v>279</v>
      </c>
      <c r="AK101" s="23" t="s">
        <v>281</v>
      </c>
      <c r="AL101" s="30">
        <v>12</v>
      </c>
      <c r="AN101" s="31" t="str">
        <f t="shared" si="74"/>
        <v>3 doors</v>
      </c>
      <c r="AO101" s="23" t="s">
        <v>282</v>
      </c>
      <c r="AP101" s="23" t="s">
        <v>71</v>
      </c>
      <c r="AQ101" s="23" t="s">
        <v>78</v>
      </c>
      <c r="AR101" s="34">
        <f t="shared" si="69"/>
        <v>4102</v>
      </c>
      <c r="AS101" s="23">
        <v>41</v>
      </c>
      <c r="AT101" s="23">
        <v>2</v>
      </c>
      <c r="AU101" s="23">
        <v>0</v>
      </c>
    </row>
    <row r="102" spans="1:47">
      <c r="A102" s="26" t="s">
        <v>227</v>
      </c>
      <c r="B102" s="23" t="s">
        <v>55</v>
      </c>
      <c r="C102" s="23">
        <v>3</v>
      </c>
      <c r="E102" s="23" t="s">
        <v>60</v>
      </c>
      <c r="F102" s="23" t="s">
        <v>286</v>
      </c>
      <c r="G102" s="27">
        <v>2009</v>
      </c>
      <c r="H102" s="27">
        <v>20</v>
      </c>
      <c r="I102" s="27">
        <v>25</v>
      </c>
      <c r="J102" s="27">
        <v>20</v>
      </c>
      <c r="K102" s="27">
        <v>14</v>
      </c>
      <c r="L102" s="27">
        <v>14</v>
      </c>
      <c r="M102" s="27">
        <v>14</v>
      </c>
      <c r="P102" s="28">
        <f t="shared" si="60"/>
        <v>42</v>
      </c>
      <c r="Q102" s="28">
        <f t="shared" si="61"/>
        <v>24.504000000000001</v>
      </c>
      <c r="R102" s="28">
        <f t="shared" si="62"/>
        <v>35.881333333333338</v>
      </c>
      <c r="S102" s="27">
        <v>70</v>
      </c>
      <c r="T102" s="29">
        <f t="shared" si="73"/>
        <v>310.08000000000004</v>
      </c>
      <c r="U102" s="27">
        <v>228</v>
      </c>
      <c r="V102" s="27">
        <v>12</v>
      </c>
      <c r="W102" s="27">
        <v>101</v>
      </c>
      <c r="X102" s="29">
        <f t="shared" si="70"/>
        <v>200</v>
      </c>
      <c r="Y102" s="27" t="s">
        <v>102</v>
      </c>
      <c r="Z102" s="27" t="s">
        <v>102</v>
      </c>
      <c r="AA102" s="29">
        <f t="shared" si="63"/>
        <v>5</v>
      </c>
      <c r="AB102" s="29">
        <f t="shared" si="64"/>
        <v>8</v>
      </c>
      <c r="AC102" s="29" t="str">
        <f t="shared" si="65"/>
        <v/>
      </c>
      <c r="AD102" s="29" t="str">
        <f t="shared" si="66"/>
        <v/>
      </c>
      <c r="AE102" s="29" t="str">
        <f t="shared" si="67"/>
        <v/>
      </c>
      <c r="AF102" s="29" t="str">
        <f t="shared" si="68"/>
        <v/>
      </c>
      <c r="AG102" s="27">
        <v>13</v>
      </c>
      <c r="AH102" s="27">
        <v>0</v>
      </c>
      <c r="AI102" s="27">
        <v>0</v>
      </c>
      <c r="AJ102" s="23" t="s">
        <v>279</v>
      </c>
      <c r="AK102" s="23" t="s">
        <v>281</v>
      </c>
      <c r="AL102" s="30">
        <v>12</v>
      </c>
      <c r="AN102" s="31" t="str">
        <f t="shared" si="74"/>
        <v>3 doors</v>
      </c>
      <c r="AO102" s="23" t="s">
        <v>282</v>
      </c>
      <c r="AP102" s="23" t="s">
        <v>71</v>
      </c>
      <c r="AQ102" s="23" t="s">
        <v>78</v>
      </c>
      <c r="AR102" s="34">
        <f t="shared" si="69"/>
        <v>4102.01</v>
      </c>
      <c r="AS102" s="23">
        <v>41</v>
      </c>
      <c r="AT102" s="23">
        <v>2</v>
      </c>
      <c r="AU102" s="23">
        <v>1</v>
      </c>
    </row>
    <row r="103" spans="1:47">
      <c r="A103" s="26" t="s">
        <v>319</v>
      </c>
      <c r="B103" s="23">
        <v>12</v>
      </c>
      <c r="C103" s="23">
        <v>3</v>
      </c>
      <c r="E103" s="23" t="s">
        <v>60</v>
      </c>
      <c r="F103" s="23" t="s">
        <v>331</v>
      </c>
      <c r="G103" s="27">
        <v>2004</v>
      </c>
      <c r="H103" s="27">
        <v>20</v>
      </c>
      <c r="I103" s="27">
        <v>25</v>
      </c>
      <c r="J103" s="27">
        <v>20</v>
      </c>
      <c r="K103" s="27">
        <v>14</v>
      </c>
      <c r="L103" s="27">
        <v>14</v>
      </c>
      <c r="M103" s="27">
        <v>14</v>
      </c>
      <c r="P103" s="28">
        <f t="shared" si="60"/>
        <v>42</v>
      </c>
      <c r="Q103" s="28">
        <f t="shared" si="61"/>
        <v>22.508000000000003</v>
      </c>
      <c r="R103" s="28">
        <f t="shared" si="62"/>
        <v>32.816000000000003</v>
      </c>
      <c r="S103" s="27">
        <v>85</v>
      </c>
      <c r="T103" s="29">
        <f t="shared" si="73"/>
        <v>280.16000000000003</v>
      </c>
      <c r="U103" s="27">
        <v>206</v>
      </c>
      <c r="V103" s="27">
        <v>11</v>
      </c>
      <c r="W103" s="27">
        <v>105</v>
      </c>
      <c r="X103" s="29">
        <f t="shared" si="70"/>
        <v>200</v>
      </c>
      <c r="Y103" s="27" t="s">
        <v>69</v>
      </c>
      <c r="Z103" s="27" t="s">
        <v>315</v>
      </c>
      <c r="AA103" s="29">
        <f t="shared" si="63"/>
        <v>5</v>
      </c>
      <c r="AB103" s="29">
        <f t="shared" si="64"/>
        <v>8</v>
      </c>
      <c r="AC103" s="29" t="str">
        <f t="shared" si="65"/>
        <v/>
      </c>
      <c r="AD103" s="29" t="str">
        <f t="shared" si="66"/>
        <v/>
      </c>
      <c r="AE103" s="29" t="str">
        <f t="shared" si="67"/>
        <v/>
      </c>
      <c r="AF103" s="29" t="str">
        <f t="shared" si="68"/>
        <v/>
      </c>
      <c r="AG103" s="27">
        <v>13</v>
      </c>
      <c r="AH103" s="27">
        <v>0</v>
      </c>
      <c r="AI103" s="27">
        <v>0</v>
      </c>
      <c r="AJ103" s="23" t="s">
        <v>335</v>
      </c>
      <c r="AK103" s="23" t="s">
        <v>152</v>
      </c>
      <c r="AL103" s="30">
        <v>2</v>
      </c>
      <c r="AM103" s="30"/>
      <c r="AN103" s="31" t="str">
        <f t="shared" si="74"/>
        <v>3 doors</v>
      </c>
      <c r="AO103" s="23" t="s">
        <v>66</v>
      </c>
      <c r="AP103" s="23" t="s">
        <v>71</v>
      </c>
      <c r="AQ103" s="23" t="s">
        <v>78</v>
      </c>
      <c r="AR103" s="34">
        <f t="shared" si="69"/>
        <v>5400</v>
      </c>
      <c r="AS103" s="23">
        <v>54</v>
      </c>
      <c r="AT103" s="23">
        <v>0</v>
      </c>
      <c r="AU103" s="23">
        <v>0</v>
      </c>
    </row>
    <row r="104" spans="1:47">
      <c r="A104" s="26" t="s">
        <v>319</v>
      </c>
      <c r="B104" s="23">
        <v>12</v>
      </c>
      <c r="C104" s="23">
        <v>2</v>
      </c>
      <c r="E104" s="23" t="s">
        <v>60</v>
      </c>
      <c r="F104" s="23" t="s">
        <v>334</v>
      </c>
      <c r="G104" s="27">
        <v>2004</v>
      </c>
      <c r="H104" s="27">
        <v>20</v>
      </c>
      <c r="I104" s="27">
        <v>25</v>
      </c>
      <c r="J104" s="27">
        <v>20</v>
      </c>
      <c r="K104" s="27">
        <v>14</v>
      </c>
      <c r="L104" s="27">
        <v>14</v>
      </c>
      <c r="P104" s="28">
        <f t="shared" si="60"/>
        <v>28</v>
      </c>
      <c r="Q104" s="28">
        <f t="shared" si="61"/>
        <v>21.508000000000003</v>
      </c>
      <c r="R104" s="28">
        <f t="shared" si="62"/>
        <v>31.816000000000003</v>
      </c>
      <c r="S104" s="27">
        <v>85</v>
      </c>
      <c r="T104" s="29">
        <f t="shared" si="73"/>
        <v>280.16000000000003</v>
      </c>
      <c r="U104" s="27">
        <v>206</v>
      </c>
      <c r="V104" s="27">
        <v>11</v>
      </c>
      <c r="W104" s="27">
        <v>105</v>
      </c>
      <c r="X104" s="29">
        <f t="shared" si="70"/>
        <v>200</v>
      </c>
      <c r="Y104" s="27" t="s">
        <v>69</v>
      </c>
      <c r="Z104" s="27" t="s">
        <v>315</v>
      </c>
      <c r="AA104" s="29">
        <f t="shared" si="63"/>
        <v>5</v>
      </c>
      <c r="AB104" s="29">
        <f t="shared" si="64"/>
        <v>8</v>
      </c>
      <c r="AC104" s="29" t="str">
        <f t="shared" si="65"/>
        <v/>
      </c>
      <c r="AD104" s="29" t="str">
        <f t="shared" si="66"/>
        <v/>
      </c>
      <c r="AE104" s="29" t="str">
        <f t="shared" si="67"/>
        <v/>
      </c>
      <c r="AF104" s="29" t="str">
        <f t="shared" si="68"/>
        <v/>
      </c>
      <c r="AG104" s="27">
        <v>13</v>
      </c>
      <c r="AH104" s="27">
        <v>0</v>
      </c>
      <c r="AI104" s="27">
        <v>0</v>
      </c>
      <c r="AJ104" s="23" t="s">
        <v>335</v>
      </c>
      <c r="AK104" s="23" t="s">
        <v>152</v>
      </c>
      <c r="AL104" s="30">
        <v>2</v>
      </c>
      <c r="AM104" s="30"/>
      <c r="AN104" s="31" t="str">
        <f t="shared" si="74"/>
        <v>2 doors</v>
      </c>
      <c r="AO104" s="23" t="s">
        <v>66</v>
      </c>
      <c r="AP104" s="23" t="s">
        <v>71</v>
      </c>
      <c r="AQ104" s="23" t="s">
        <v>78</v>
      </c>
      <c r="AR104" s="34">
        <f t="shared" si="69"/>
        <v>5401</v>
      </c>
      <c r="AS104" s="23">
        <v>54</v>
      </c>
      <c r="AT104" s="23">
        <v>1</v>
      </c>
      <c r="AU104" s="23">
        <v>0</v>
      </c>
    </row>
    <row r="105" spans="1:47">
      <c r="A105" s="26" t="s">
        <v>319</v>
      </c>
      <c r="B105" s="23" t="s">
        <v>320</v>
      </c>
      <c r="C105" s="23">
        <v>3</v>
      </c>
      <c r="E105" s="23" t="s">
        <v>60</v>
      </c>
      <c r="F105" s="23" t="s">
        <v>332</v>
      </c>
      <c r="G105" s="27">
        <v>2011</v>
      </c>
      <c r="H105" s="27">
        <v>20</v>
      </c>
      <c r="I105" s="27">
        <v>25</v>
      </c>
      <c r="J105" s="27">
        <v>20</v>
      </c>
      <c r="K105" s="27">
        <v>14</v>
      </c>
      <c r="L105" s="27">
        <v>14</v>
      </c>
      <c r="M105" s="27">
        <v>14</v>
      </c>
      <c r="P105" s="28">
        <f t="shared" si="60"/>
        <v>42</v>
      </c>
      <c r="Q105" s="28">
        <f t="shared" si="61"/>
        <v>24.48</v>
      </c>
      <c r="R105" s="28">
        <f t="shared" si="62"/>
        <v>36.86</v>
      </c>
      <c r="S105" s="27">
        <v>85</v>
      </c>
      <c r="T105" s="29">
        <f t="shared" si="73"/>
        <v>319.60000000000002</v>
      </c>
      <c r="U105" s="27">
        <v>235</v>
      </c>
      <c r="V105" s="27">
        <v>11</v>
      </c>
      <c r="W105" s="27">
        <v>120</v>
      </c>
      <c r="X105" s="29">
        <f t="shared" si="70"/>
        <v>200</v>
      </c>
      <c r="Y105" s="27" t="s">
        <v>69</v>
      </c>
      <c r="Z105" s="27" t="s">
        <v>315</v>
      </c>
      <c r="AA105" s="29">
        <f t="shared" si="63"/>
        <v>6</v>
      </c>
      <c r="AB105" s="29">
        <f t="shared" si="64"/>
        <v>8</v>
      </c>
      <c r="AC105" s="29" t="str">
        <f t="shared" si="65"/>
        <v/>
      </c>
      <c r="AD105" s="29" t="str">
        <f t="shared" si="66"/>
        <v/>
      </c>
      <c r="AE105" s="29" t="str">
        <f t="shared" si="67"/>
        <v/>
      </c>
      <c r="AF105" s="29" t="str">
        <f t="shared" si="68"/>
        <v/>
      </c>
      <c r="AG105" s="27">
        <v>14</v>
      </c>
      <c r="AH105" s="27">
        <v>0</v>
      </c>
      <c r="AI105" s="27">
        <v>0</v>
      </c>
      <c r="AJ105" s="23" t="s">
        <v>335</v>
      </c>
      <c r="AK105" s="23" t="s">
        <v>152</v>
      </c>
      <c r="AL105" s="30">
        <v>2</v>
      </c>
      <c r="AM105" s="30" t="s">
        <v>320</v>
      </c>
      <c r="AN105" s="31" t="str">
        <f t="shared" si="74"/>
        <v>3 doors</v>
      </c>
      <c r="AO105" s="23" t="s">
        <v>321</v>
      </c>
      <c r="AP105" s="23" t="s">
        <v>71</v>
      </c>
      <c r="AQ105" s="23" t="s">
        <v>78</v>
      </c>
      <c r="AR105" s="34">
        <f t="shared" si="69"/>
        <v>5402</v>
      </c>
      <c r="AS105" s="23">
        <v>54</v>
      </c>
      <c r="AT105" s="23">
        <v>2</v>
      </c>
      <c r="AU105" s="23">
        <v>0</v>
      </c>
    </row>
    <row r="106" spans="1:47">
      <c r="A106" s="26" t="s">
        <v>319</v>
      </c>
      <c r="B106" s="23" t="s">
        <v>318</v>
      </c>
      <c r="C106" s="23">
        <v>3</v>
      </c>
      <c r="E106" s="23" t="s">
        <v>60</v>
      </c>
      <c r="F106" s="23" t="s">
        <v>333</v>
      </c>
      <c r="G106" s="27">
        <v>2005</v>
      </c>
      <c r="H106" s="27">
        <v>20</v>
      </c>
      <c r="I106" s="27">
        <v>25</v>
      </c>
      <c r="J106" s="27">
        <v>20</v>
      </c>
      <c r="K106" s="27">
        <v>14</v>
      </c>
      <c r="L106" s="27">
        <v>14</v>
      </c>
      <c r="M106" s="27">
        <v>14</v>
      </c>
      <c r="P106" s="28">
        <f t="shared" si="60"/>
        <v>42</v>
      </c>
      <c r="Q106" s="28">
        <f t="shared" si="61"/>
        <v>27.48</v>
      </c>
      <c r="R106" s="28">
        <f t="shared" si="62"/>
        <v>37.520000000000003</v>
      </c>
      <c r="S106" s="27">
        <v>85</v>
      </c>
      <c r="T106" s="29">
        <f t="shared" si="73"/>
        <v>319.60000000000002</v>
      </c>
      <c r="U106" s="27">
        <v>235</v>
      </c>
      <c r="V106" s="27">
        <v>17</v>
      </c>
      <c r="W106" s="27">
        <v>129</v>
      </c>
      <c r="X106" s="29">
        <f t="shared" si="70"/>
        <v>200</v>
      </c>
      <c r="Y106" s="27" t="s">
        <v>69</v>
      </c>
      <c r="Z106" s="27" t="s">
        <v>315</v>
      </c>
      <c r="AA106" s="29">
        <f t="shared" si="63"/>
        <v>6</v>
      </c>
      <c r="AB106" s="29">
        <f t="shared" si="64"/>
        <v>8</v>
      </c>
      <c r="AC106" s="29" t="str">
        <f t="shared" si="65"/>
        <v/>
      </c>
      <c r="AD106" s="29" t="str">
        <f t="shared" si="66"/>
        <v/>
      </c>
      <c r="AE106" s="29" t="str">
        <f t="shared" si="67"/>
        <v/>
      </c>
      <c r="AF106" s="29" t="str">
        <f t="shared" si="68"/>
        <v/>
      </c>
      <c r="AG106" s="27">
        <v>14</v>
      </c>
      <c r="AH106" s="27">
        <v>0</v>
      </c>
      <c r="AI106" s="27">
        <v>0</v>
      </c>
      <c r="AJ106" s="23" t="s">
        <v>335</v>
      </c>
      <c r="AK106" s="23" t="s">
        <v>152</v>
      </c>
      <c r="AL106" s="30">
        <v>2</v>
      </c>
      <c r="AM106" s="30" t="s">
        <v>318</v>
      </c>
      <c r="AN106" s="31" t="str">
        <f t="shared" si="74"/>
        <v>3 doors</v>
      </c>
      <c r="AO106" s="23" t="s">
        <v>321</v>
      </c>
      <c r="AP106" s="23" t="s">
        <v>71</v>
      </c>
      <c r="AQ106" s="23" t="s">
        <v>78</v>
      </c>
      <c r="AR106" s="34">
        <f t="shared" si="69"/>
        <v>5403</v>
      </c>
      <c r="AS106" s="23">
        <v>54</v>
      </c>
      <c r="AT106" s="23">
        <v>3</v>
      </c>
      <c r="AU106" s="23">
        <v>0</v>
      </c>
    </row>
    <row r="107" spans="1:47">
      <c r="A107" s="26" t="s">
        <v>319</v>
      </c>
      <c r="B107" s="23" t="s">
        <v>318</v>
      </c>
      <c r="C107" s="23">
        <v>3</v>
      </c>
      <c r="E107" s="23" t="s">
        <v>60</v>
      </c>
      <c r="F107" s="23" t="s">
        <v>333</v>
      </c>
      <c r="G107" s="27">
        <v>2005</v>
      </c>
      <c r="H107" s="27">
        <v>20</v>
      </c>
      <c r="I107" s="27">
        <v>25</v>
      </c>
      <c r="J107" s="27">
        <v>20</v>
      </c>
      <c r="K107" s="27">
        <v>14</v>
      </c>
      <c r="L107" s="27">
        <v>14</v>
      </c>
      <c r="M107" s="27">
        <v>14</v>
      </c>
      <c r="P107" s="28">
        <f t="shared" ref="P107" si="75">SUM(K107:O107)</f>
        <v>42</v>
      </c>
      <c r="Q107" s="28">
        <f t="shared" ref="Q107" si="76">IF(OR(E107="diesel", E107="petrol"), ((V107+(T107/10))/2)+(P107/14), IF(OR(E107="cng", E107="hybrid"), ((V107+(T107/10))/2*1.2)+(P107/14), IF(OR(E107="hydrogen", E107="electric"), ((V107+(T107/10))/2*1.5)+(P107/14), 0)))</f>
        <v>27.48</v>
      </c>
      <c r="R107" s="28">
        <f t="shared" ref="R107" si="77">IF(E107="petrol", ((V107+(W107/15)+T107)/10*1.5)+(P107/14), IF(E107="diesel", ((V107+(W107/15)+T107)/10)+(P107/14), IF(OR(E107="cng", E107="hybrid"), ((V107+(W107/15)+T107)/10*0.8)+(P107/14), IF(OR(E107="hydrogen", E107="electric"), ((V107+(W107/15)+T107)/10*0.5)+(P107/14), 0))))</f>
        <v>37.520000000000003</v>
      </c>
      <c r="S107" s="27">
        <v>85</v>
      </c>
      <c r="T107" s="29">
        <f t="shared" ref="T107" si="78">U107*1.36</f>
        <v>319.60000000000002</v>
      </c>
      <c r="U107" s="27">
        <v>235</v>
      </c>
      <c r="V107" s="27">
        <v>17</v>
      </c>
      <c r="W107" s="27">
        <v>129</v>
      </c>
      <c r="X107" s="29">
        <f t="shared" ref="X107" si="79">IF(AP107="Regional", 185, IF(AP107="Intercity", 150, IF(AP107="Tourist", 100, 200)))</f>
        <v>200</v>
      </c>
      <c r="Y107" s="27" t="s">
        <v>298</v>
      </c>
      <c r="Z107" s="27" t="s">
        <v>298</v>
      </c>
      <c r="AA107" s="29">
        <f t="shared" ref="AA107" si="80">IF(AG107&gt;8, AG107-8, AG107)</f>
        <v>6</v>
      </c>
      <c r="AB107" s="29">
        <f t="shared" ref="AB107" si="81">IF(AG107&gt;8, 8, "")</f>
        <v>8</v>
      </c>
      <c r="AC107" s="29" t="str">
        <f t="shared" ref="AC107" si="82">IF(AH107&gt;8, AH107-8, IF(AH107=0, "", AH107))</f>
        <v/>
      </c>
      <c r="AD107" s="29" t="str">
        <f t="shared" ref="AD107" si="83">IF(AH107&gt;8, 8, "")</f>
        <v/>
      </c>
      <c r="AE107" s="29" t="str">
        <f t="shared" ref="AE107" si="84">IF(AI107&gt;8, AI107-8, IF(AI107=0, "", AI107))</f>
        <v/>
      </c>
      <c r="AF107" s="29" t="str">
        <f t="shared" ref="AF107" si="85">IF(AI107&gt;8, 8, "")</f>
        <v/>
      </c>
      <c r="AG107" s="27">
        <v>14</v>
      </c>
      <c r="AH107" s="27">
        <v>0</v>
      </c>
      <c r="AI107" s="27">
        <v>0</v>
      </c>
      <c r="AJ107" s="23" t="s">
        <v>335</v>
      </c>
      <c r="AK107" s="23" t="s">
        <v>152</v>
      </c>
      <c r="AL107" s="30">
        <v>2</v>
      </c>
      <c r="AM107" s="30" t="s">
        <v>318</v>
      </c>
      <c r="AN107" s="31" t="str">
        <f t="shared" ref="AN107" si="86">IF(O107&gt;0, "5 doors", IF(N107&gt;0, "4 doors", IF(M107&gt;0, "3 doors", IF(L107&gt;0, "2 doors", "1 door"))))</f>
        <v>3 doors</v>
      </c>
      <c r="AO107" s="23" t="s">
        <v>321</v>
      </c>
      <c r="AP107" s="23" t="s">
        <v>71</v>
      </c>
      <c r="AQ107" s="35" t="s">
        <v>299</v>
      </c>
      <c r="AR107" s="34">
        <f t="shared" ref="AR107" si="87">(AS107*100)+AT107+(AU107/100)</f>
        <v>5403.01</v>
      </c>
      <c r="AS107" s="23">
        <v>54</v>
      </c>
      <c r="AT107" s="23">
        <v>3</v>
      </c>
      <c r="AU107" s="23">
        <v>1</v>
      </c>
    </row>
    <row r="108" spans="1:47">
      <c r="A108" s="26" t="s">
        <v>118</v>
      </c>
      <c r="B108" s="23" t="s">
        <v>119</v>
      </c>
      <c r="C108" s="23">
        <v>3</v>
      </c>
      <c r="E108" s="23" t="s">
        <v>76</v>
      </c>
      <c r="F108" s="23" t="s">
        <v>131</v>
      </c>
      <c r="G108" s="27">
        <v>2023</v>
      </c>
      <c r="H108" s="27">
        <v>20</v>
      </c>
      <c r="I108" s="27">
        <v>25</v>
      </c>
      <c r="J108" s="27">
        <v>20</v>
      </c>
      <c r="K108" s="27">
        <v>14</v>
      </c>
      <c r="L108" s="27">
        <v>14</v>
      </c>
      <c r="M108" s="27">
        <v>14</v>
      </c>
      <c r="P108" s="28">
        <f t="shared" si="60"/>
        <v>42</v>
      </c>
      <c r="Q108" s="28">
        <f t="shared" si="61"/>
        <v>35.730000000000004</v>
      </c>
      <c r="R108" s="28">
        <f t="shared" si="62"/>
        <v>20.170000000000002</v>
      </c>
      <c r="S108" s="27">
        <v>80</v>
      </c>
      <c r="T108" s="29">
        <f t="shared" si="73"/>
        <v>326.40000000000003</v>
      </c>
      <c r="U108" s="27">
        <v>240</v>
      </c>
      <c r="V108" s="27">
        <v>11</v>
      </c>
      <c r="W108" s="27">
        <v>90</v>
      </c>
      <c r="X108" s="29">
        <f t="shared" si="70"/>
        <v>200</v>
      </c>
      <c r="Y108" s="27" t="s">
        <v>69</v>
      </c>
      <c r="Z108" s="27" t="s">
        <v>315</v>
      </c>
      <c r="AA108" s="29">
        <f t="shared" si="63"/>
        <v>3</v>
      </c>
      <c r="AB108" s="29">
        <f t="shared" si="64"/>
        <v>8</v>
      </c>
      <c r="AC108" s="29" t="str">
        <f t="shared" si="65"/>
        <v/>
      </c>
      <c r="AD108" s="29" t="str">
        <f t="shared" si="66"/>
        <v/>
      </c>
      <c r="AE108" s="29" t="str">
        <f t="shared" si="67"/>
        <v/>
      </c>
      <c r="AF108" s="29" t="str">
        <f t="shared" si="68"/>
        <v/>
      </c>
      <c r="AG108" s="27">
        <v>11</v>
      </c>
      <c r="AH108" s="27">
        <v>0</v>
      </c>
      <c r="AI108" s="27">
        <v>0</v>
      </c>
      <c r="AJ108" s="23" t="s">
        <v>151</v>
      </c>
      <c r="AK108" s="23" t="s">
        <v>152</v>
      </c>
      <c r="AL108" s="30">
        <v>3</v>
      </c>
      <c r="AM108" s="30" t="s">
        <v>119</v>
      </c>
      <c r="AN108" s="31" t="str">
        <f t="shared" si="74"/>
        <v>3 doors</v>
      </c>
      <c r="AO108" s="23" t="s">
        <v>67</v>
      </c>
      <c r="AP108" s="23" t="s">
        <v>71</v>
      </c>
      <c r="AQ108" s="23" t="s">
        <v>78</v>
      </c>
      <c r="AR108" s="34">
        <f t="shared" si="69"/>
        <v>5500</v>
      </c>
      <c r="AS108" s="23">
        <v>55</v>
      </c>
      <c r="AT108" s="23">
        <v>0</v>
      </c>
      <c r="AU108" s="23">
        <v>0</v>
      </c>
    </row>
    <row r="109" spans="1:47">
      <c r="A109" s="26" t="s">
        <v>118</v>
      </c>
      <c r="B109" s="23" t="s">
        <v>119</v>
      </c>
      <c r="C109" s="23">
        <v>3</v>
      </c>
      <c r="E109" s="23" t="s">
        <v>76</v>
      </c>
      <c r="F109" s="23" t="s">
        <v>131</v>
      </c>
      <c r="G109" s="27">
        <v>2023</v>
      </c>
      <c r="H109" s="27">
        <v>20</v>
      </c>
      <c r="I109" s="27">
        <v>25</v>
      </c>
      <c r="J109" s="27">
        <v>20</v>
      </c>
      <c r="K109" s="27">
        <v>14</v>
      </c>
      <c r="L109" s="27">
        <v>14</v>
      </c>
      <c r="M109" s="27">
        <v>14</v>
      </c>
      <c r="P109" s="28">
        <f t="shared" si="60"/>
        <v>42</v>
      </c>
      <c r="Q109" s="28">
        <f t="shared" si="61"/>
        <v>35.730000000000004</v>
      </c>
      <c r="R109" s="28">
        <f t="shared" si="62"/>
        <v>20.170000000000002</v>
      </c>
      <c r="S109" s="27">
        <v>80</v>
      </c>
      <c r="T109" s="29">
        <f t="shared" si="73"/>
        <v>326.40000000000003</v>
      </c>
      <c r="U109" s="27">
        <v>240</v>
      </c>
      <c r="V109" s="27">
        <v>11</v>
      </c>
      <c r="W109" s="27">
        <v>90</v>
      </c>
      <c r="X109" s="29">
        <f t="shared" si="70"/>
        <v>200</v>
      </c>
      <c r="Y109" s="27" t="s">
        <v>102</v>
      </c>
      <c r="Z109" s="27" t="s">
        <v>102</v>
      </c>
      <c r="AA109" s="29">
        <f t="shared" si="63"/>
        <v>3</v>
      </c>
      <c r="AB109" s="29">
        <f t="shared" si="64"/>
        <v>8</v>
      </c>
      <c r="AC109" s="29" t="str">
        <f t="shared" si="65"/>
        <v/>
      </c>
      <c r="AD109" s="29" t="str">
        <f t="shared" si="66"/>
        <v/>
      </c>
      <c r="AE109" s="29" t="str">
        <f t="shared" si="67"/>
        <v/>
      </c>
      <c r="AF109" s="29" t="str">
        <f t="shared" si="68"/>
        <v/>
      </c>
      <c r="AG109" s="27">
        <v>11</v>
      </c>
      <c r="AH109" s="27">
        <v>0</v>
      </c>
      <c r="AI109" s="27">
        <v>0</v>
      </c>
      <c r="AJ109" s="23" t="s">
        <v>151</v>
      </c>
      <c r="AK109" s="23" t="s">
        <v>152</v>
      </c>
      <c r="AL109" s="30">
        <v>3</v>
      </c>
      <c r="AM109" s="30" t="s">
        <v>119</v>
      </c>
      <c r="AN109" s="31" t="str">
        <f t="shared" si="74"/>
        <v>3 doors</v>
      </c>
      <c r="AO109" s="23" t="s">
        <v>67</v>
      </c>
      <c r="AP109" s="23" t="s">
        <v>71</v>
      </c>
      <c r="AQ109" s="23" t="s">
        <v>78</v>
      </c>
      <c r="AR109" s="34">
        <f t="shared" si="69"/>
        <v>5500.01</v>
      </c>
      <c r="AS109" s="23">
        <v>55</v>
      </c>
      <c r="AT109" s="23">
        <v>0</v>
      </c>
      <c r="AU109" s="23">
        <v>1</v>
      </c>
    </row>
    <row r="110" spans="1:47">
      <c r="A110" s="26" t="s">
        <v>118</v>
      </c>
      <c r="B110" s="23" t="s">
        <v>119</v>
      </c>
      <c r="C110" s="23">
        <v>3</v>
      </c>
      <c r="E110" s="23" t="s">
        <v>76</v>
      </c>
      <c r="F110" s="23" t="s">
        <v>131</v>
      </c>
      <c r="G110" s="27">
        <v>2023</v>
      </c>
      <c r="H110" s="27">
        <v>20</v>
      </c>
      <c r="I110" s="27">
        <v>25</v>
      </c>
      <c r="J110" s="27">
        <v>20</v>
      </c>
      <c r="K110" s="27">
        <v>14</v>
      </c>
      <c r="L110" s="27">
        <v>14</v>
      </c>
      <c r="M110" s="27">
        <v>14</v>
      </c>
      <c r="P110" s="28">
        <f t="shared" si="60"/>
        <v>42</v>
      </c>
      <c r="Q110" s="28">
        <f t="shared" si="61"/>
        <v>35.730000000000004</v>
      </c>
      <c r="R110" s="28">
        <f t="shared" si="62"/>
        <v>20.170000000000002</v>
      </c>
      <c r="S110" s="27">
        <v>80</v>
      </c>
      <c r="T110" s="29">
        <f t="shared" si="73"/>
        <v>326.40000000000003</v>
      </c>
      <c r="U110" s="27">
        <v>240</v>
      </c>
      <c r="V110" s="27">
        <v>11</v>
      </c>
      <c r="W110" s="27">
        <v>90</v>
      </c>
      <c r="X110" s="29">
        <f t="shared" si="70"/>
        <v>200</v>
      </c>
      <c r="Y110" s="27" t="s">
        <v>108</v>
      </c>
      <c r="Z110" s="27" t="s">
        <v>108</v>
      </c>
      <c r="AA110" s="29">
        <f t="shared" si="63"/>
        <v>3</v>
      </c>
      <c r="AB110" s="29">
        <f t="shared" si="64"/>
        <v>8</v>
      </c>
      <c r="AC110" s="29" t="str">
        <f t="shared" si="65"/>
        <v/>
      </c>
      <c r="AD110" s="29" t="str">
        <f t="shared" si="66"/>
        <v/>
      </c>
      <c r="AE110" s="29" t="str">
        <f t="shared" si="67"/>
        <v/>
      </c>
      <c r="AF110" s="29" t="str">
        <f t="shared" si="68"/>
        <v/>
      </c>
      <c r="AG110" s="27">
        <v>11</v>
      </c>
      <c r="AH110" s="27">
        <v>0</v>
      </c>
      <c r="AI110" s="27">
        <v>0</v>
      </c>
      <c r="AJ110" s="23" t="s">
        <v>151</v>
      </c>
      <c r="AK110" s="23" t="s">
        <v>152</v>
      </c>
      <c r="AL110" s="30">
        <v>3</v>
      </c>
      <c r="AM110" s="30" t="s">
        <v>119</v>
      </c>
      <c r="AN110" s="31" t="str">
        <f t="shared" si="74"/>
        <v>3 doors</v>
      </c>
      <c r="AO110" s="23" t="s">
        <v>67</v>
      </c>
      <c r="AP110" s="23" t="s">
        <v>71</v>
      </c>
      <c r="AQ110" s="23" t="s">
        <v>188</v>
      </c>
      <c r="AR110" s="34">
        <f t="shared" si="69"/>
        <v>5500.02</v>
      </c>
      <c r="AS110" s="23">
        <v>55</v>
      </c>
      <c r="AT110" s="23">
        <v>0</v>
      </c>
      <c r="AU110" s="23">
        <v>2</v>
      </c>
    </row>
    <row r="111" spans="1:47">
      <c r="A111" s="26" t="s">
        <v>118</v>
      </c>
      <c r="B111" s="23" t="s">
        <v>119</v>
      </c>
      <c r="C111" s="23">
        <v>3</v>
      </c>
      <c r="E111" s="23" t="s">
        <v>76</v>
      </c>
      <c r="F111" s="23" t="s">
        <v>131</v>
      </c>
      <c r="G111" s="27">
        <v>2023</v>
      </c>
      <c r="H111" s="27">
        <v>20</v>
      </c>
      <c r="I111" s="27">
        <v>25</v>
      </c>
      <c r="J111" s="27">
        <v>20</v>
      </c>
      <c r="K111" s="27">
        <v>14</v>
      </c>
      <c r="L111" s="27">
        <v>14</v>
      </c>
      <c r="M111" s="27">
        <v>14</v>
      </c>
      <c r="P111" s="28">
        <f t="shared" si="60"/>
        <v>42</v>
      </c>
      <c r="Q111" s="28">
        <f t="shared" si="61"/>
        <v>35.730000000000004</v>
      </c>
      <c r="R111" s="28">
        <f t="shared" si="62"/>
        <v>20.170000000000002</v>
      </c>
      <c r="S111" s="27">
        <v>80</v>
      </c>
      <c r="T111" s="29">
        <f t="shared" si="73"/>
        <v>326.40000000000003</v>
      </c>
      <c r="U111" s="27">
        <v>240</v>
      </c>
      <c r="V111" s="27">
        <v>11</v>
      </c>
      <c r="W111" s="27">
        <v>90</v>
      </c>
      <c r="X111" s="29">
        <f t="shared" si="70"/>
        <v>200</v>
      </c>
      <c r="Y111" s="27" t="s">
        <v>163</v>
      </c>
      <c r="Z111" s="27" t="s">
        <v>163</v>
      </c>
      <c r="AA111" s="29">
        <f t="shared" si="63"/>
        <v>3</v>
      </c>
      <c r="AB111" s="29">
        <f t="shared" si="64"/>
        <v>8</v>
      </c>
      <c r="AC111" s="29" t="str">
        <f t="shared" si="65"/>
        <v/>
      </c>
      <c r="AD111" s="29" t="str">
        <f t="shared" si="66"/>
        <v/>
      </c>
      <c r="AE111" s="29" t="str">
        <f t="shared" si="67"/>
        <v/>
      </c>
      <c r="AF111" s="29" t="str">
        <f t="shared" si="68"/>
        <v/>
      </c>
      <c r="AG111" s="27">
        <v>11</v>
      </c>
      <c r="AH111" s="27">
        <v>0</v>
      </c>
      <c r="AI111" s="27">
        <v>0</v>
      </c>
      <c r="AJ111" s="23" t="s">
        <v>151</v>
      </c>
      <c r="AK111" s="23" t="s">
        <v>152</v>
      </c>
      <c r="AL111" s="30">
        <v>3</v>
      </c>
      <c r="AM111" s="30" t="s">
        <v>119</v>
      </c>
      <c r="AN111" s="31" t="str">
        <f t="shared" si="74"/>
        <v>3 doors</v>
      </c>
      <c r="AO111" s="23" t="s">
        <v>67</v>
      </c>
      <c r="AP111" s="23" t="s">
        <v>71</v>
      </c>
      <c r="AQ111" s="23" t="s">
        <v>189</v>
      </c>
      <c r="AR111" s="34">
        <f t="shared" si="69"/>
        <v>5500.03</v>
      </c>
      <c r="AS111" s="23">
        <v>55</v>
      </c>
      <c r="AT111" s="23">
        <v>0</v>
      </c>
      <c r="AU111" s="23">
        <v>3</v>
      </c>
    </row>
    <row r="112" spans="1:47">
      <c r="A112" s="26" t="s">
        <v>118</v>
      </c>
      <c r="B112" s="23" t="s">
        <v>119</v>
      </c>
      <c r="C112" s="23">
        <v>2</v>
      </c>
      <c r="E112" s="23" t="s">
        <v>76</v>
      </c>
      <c r="F112" s="23" t="s">
        <v>162</v>
      </c>
      <c r="G112" s="27">
        <v>2023</v>
      </c>
      <c r="H112" s="27">
        <v>20</v>
      </c>
      <c r="I112" s="27">
        <v>25</v>
      </c>
      <c r="J112" s="27">
        <v>20</v>
      </c>
      <c r="K112" s="27">
        <v>14</v>
      </c>
      <c r="L112" s="27">
        <v>14</v>
      </c>
      <c r="P112" s="28">
        <f t="shared" si="60"/>
        <v>28</v>
      </c>
      <c r="Q112" s="28">
        <f t="shared" si="61"/>
        <v>34.730000000000004</v>
      </c>
      <c r="R112" s="28">
        <f t="shared" si="62"/>
        <v>19.170000000000002</v>
      </c>
      <c r="S112" s="27">
        <v>80</v>
      </c>
      <c r="T112" s="29">
        <f t="shared" si="73"/>
        <v>326.40000000000003</v>
      </c>
      <c r="U112" s="27">
        <v>240</v>
      </c>
      <c r="V112" s="27">
        <v>11</v>
      </c>
      <c r="W112" s="27">
        <v>90</v>
      </c>
      <c r="X112" s="29">
        <f t="shared" si="70"/>
        <v>200</v>
      </c>
      <c r="Y112" s="27" t="s">
        <v>69</v>
      </c>
      <c r="Z112" s="27" t="s">
        <v>315</v>
      </c>
      <c r="AA112" s="29">
        <f t="shared" si="63"/>
        <v>3</v>
      </c>
      <c r="AB112" s="29">
        <f t="shared" si="64"/>
        <v>8</v>
      </c>
      <c r="AC112" s="29" t="str">
        <f t="shared" si="65"/>
        <v/>
      </c>
      <c r="AD112" s="29" t="str">
        <f t="shared" si="66"/>
        <v/>
      </c>
      <c r="AE112" s="29" t="str">
        <f t="shared" si="67"/>
        <v/>
      </c>
      <c r="AF112" s="29" t="str">
        <f t="shared" si="68"/>
        <v/>
      </c>
      <c r="AG112" s="27">
        <v>11</v>
      </c>
      <c r="AH112" s="27">
        <v>0</v>
      </c>
      <c r="AI112" s="27">
        <v>0</v>
      </c>
      <c r="AJ112" s="23" t="s">
        <v>151</v>
      </c>
      <c r="AK112" s="23" t="s">
        <v>152</v>
      </c>
      <c r="AL112" s="30">
        <v>3</v>
      </c>
      <c r="AM112" s="30" t="s">
        <v>119</v>
      </c>
      <c r="AN112" s="31" t="str">
        <f t="shared" si="74"/>
        <v>2 doors</v>
      </c>
      <c r="AO112" s="23" t="s">
        <v>67</v>
      </c>
      <c r="AP112" s="23" t="s">
        <v>71</v>
      </c>
      <c r="AQ112" s="23" t="s">
        <v>78</v>
      </c>
      <c r="AR112" s="34">
        <f t="shared" si="69"/>
        <v>5501</v>
      </c>
      <c r="AS112" s="23">
        <v>55</v>
      </c>
      <c r="AT112" s="23">
        <v>1</v>
      </c>
      <c r="AU112" s="23">
        <v>0</v>
      </c>
    </row>
    <row r="113" spans="1:47">
      <c r="A113" s="26" t="s">
        <v>118</v>
      </c>
      <c r="B113" s="23" t="s">
        <v>119</v>
      </c>
      <c r="C113" s="23">
        <v>2</v>
      </c>
      <c r="E113" s="23" t="s">
        <v>76</v>
      </c>
      <c r="F113" s="23" t="s">
        <v>162</v>
      </c>
      <c r="G113" s="27">
        <v>2023</v>
      </c>
      <c r="H113" s="27">
        <v>20</v>
      </c>
      <c r="I113" s="27">
        <v>25</v>
      </c>
      <c r="J113" s="27">
        <v>20</v>
      </c>
      <c r="K113" s="27">
        <v>14</v>
      </c>
      <c r="L113" s="27">
        <v>14</v>
      </c>
      <c r="P113" s="28">
        <f t="shared" si="60"/>
        <v>28</v>
      </c>
      <c r="Q113" s="28">
        <f t="shared" si="61"/>
        <v>34.730000000000004</v>
      </c>
      <c r="R113" s="28">
        <f t="shared" si="62"/>
        <v>19.170000000000002</v>
      </c>
      <c r="S113" s="27">
        <v>80</v>
      </c>
      <c r="T113" s="29">
        <f t="shared" si="73"/>
        <v>326.40000000000003</v>
      </c>
      <c r="U113" s="27">
        <v>240</v>
      </c>
      <c r="V113" s="27">
        <v>11</v>
      </c>
      <c r="W113" s="27">
        <v>90</v>
      </c>
      <c r="X113" s="29">
        <f t="shared" si="70"/>
        <v>200</v>
      </c>
      <c r="Y113" s="27" t="s">
        <v>102</v>
      </c>
      <c r="Z113" s="27" t="s">
        <v>102</v>
      </c>
      <c r="AA113" s="29">
        <f t="shared" si="63"/>
        <v>3</v>
      </c>
      <c r="AB113" s="29">
        <f t="shared" si="64"/>
        <v>8</v>
      </c>
      <c r="AC113" s="29" t="str">
        <f t="shared" si="65"/>
        <v/>
      </c>
      <c r="AD113" s="29" t="str">
        <f t="shared" si="66"/>
        <v/>
      </c>
      <c r="AE113" s="29" t="str">
        <f t="shared" si="67"/>
        <v/>
      </c>
      <c r="AF113" s="29" t="str">
        <f t="shared" si="68"/>
        <v/>
      </c>
      <c r="AG113" s="27">
        <v>11</v>
      </c>
      <c r="AH113" s="27">
        <v>0</v>
      </c>
      <c r="AI113" s="27">
        <v>0</v>
      </c>
      <c r="AJ113" s="23" t="s">
        <v>151</v>
      </c>
      <c r="AK113" s="23" t="s">
        <v>152</v>
      </c>
      <c r="AL113" s="30">
        <v>3</v>
      </c>
      <c r="AM113" s="30" t="s">
        <v>119</v>
      </c>
      <c r="AN113" s="31" t="str">
        <f t="shared" si="74"/>
        <v>2 doors</v>
      </c>
      <c r="AO113" s="23" t="s">
        <v>67</v>
      </c>
      <c r="AP113" s="23" t="s">
        <v>71</v>
      </c>
      <c r="AQ113" s="23" t="s">
        <v>78</v>
      </c>
      <c r="AR113" s="34">
        <f t="shared" si="69"/>
        <v>5501.01</v>
      </c>
      <c r="AS113" s="23">
        <v>55</v>
      </c>
      <c r="AT113" s="23">
        <v>1</v>
      </c>
      <c r="AU113" s="23">
        <v>1</v>
      </c>
    </row>
    <row r="114" spans="1:47">
      <c r="A114" s="26" t="s">
        <v>118</v>
      </c>
      <c r="B114" s="23" t="s">
        <v>119</v>
      </c>
      <c r="C114" s="23">
        <v>2</v>
      </c>
      <c r="E114" s="23" t="s">
        <v>76</v>
      </c>
      <c r="F114" s="23" t="s">
        <v>162</v>
      </c>
      <c r="G114" s="27">
        <v>2023</v>
      </c>
      <c r="H114" s="27">
        <v>20</v>
      </c>
      <c r="I114" s="27">
        <v>25</v>
      </c>
      <c r="J114" s="27">
        <v>20</v>
      </c>
      <c r="K114" s="27">
        <v>14</v>
      </c>
      <c r="L114" s="27">
        <v>14</v>
      </c>
      <c r="P114" s="28">
        <f t="shared" si="60"/>
        <v>28</v>
      </c>
      <c r="Q114" s="28">
        <f t="shared" si="61"/>
        <v>34.730000000000004</v>
      </c>
      <c r="R114" s="28">
        <f t="shared" si="62"/>
        <v>19.170000000000002</v>
      </c>
      <c r="S114" s="27">
        <v>80</v>
      </c>
      <c r="T114" s="29">
        <f t="shared" si="73"/>
        <v>326.40000000000003</v>
      </c>
      <c r="U114" s="27">
        <v>240</v>
      </c>
      <c r="V114" s="27">
        <v>11</v>
      </c>
      <c r="W114" s="27">
        <v>90</v>
      </c>
      <c r="X114" s="29">
        <f t="shared" si="70"/>
        <v>200</v>
      </c>
      <c r="Y114" s="27" t="s">
        <v>164</v>
      </c>
      <c r="Z114" s="27" t="s">
        <v>164</v>
      </c>
      <c r="AA114" s="29">
        <f t="shared" si="63"/>
        <v>3</v>
      </c>
      <c r="AB114" s="29">
        <f t="shared" si="64"/>
        <v>8</v>
      </c>
      <c r="AC114" s="29" t="str">
        <f t="shared" si="65"/>
        <v/>
      </c>
      <c r="AD114" s="29" t="str">
        <f t="shared" si="66"/>
        <v/>
      </c>
      <c r="AE114" s="29" t="str">
        <f t="shared" si="67"/>
        <v/>
      </c>
      <c r="AF114" s="29" t="str">
        <f t="shared" si="68"/>
        <v/>
      </c>
      <c r="AG114" s="27">
        <v>11</v>
      </c>
      <c r="AH114" s="27">
        <v>0</v>
      </c>
      <c r="AI114" s="27">
        <v>0</v>
      </c>
      <c r="AJ114" s="23" t="s">
        <v>151</v>
      </c>
      <c r="AK114" s="23" t="s">
        <v>152</v>
      </c>
      <c r="AL114" s="30">
        <v>3</v>
      </c>
      <c r="AM114" s="30" t="s">
        <v>119</v>
      </c>
      <c r="AN114" s="31" t="str">
        <f t="shared" si="74"/>
        <v>2 doors</v>
      </c>
      <c r="AO114" s="23" t="s">
        <v>67</v>
      </c>
      <c r="AP114" s="23" t="s">
        <v>71</v>
      </c>
      <c r="AQ114" s="23" t="s">
        <v>188</v>
      </c>
      <c r="AR114" s="34">
        <f t="shared" si="69"/>
        <v>5501.02</v>
      </c>
      <c r="AS114" s="23">
        <v>55</v>
      </c>
      <c r="AT114" s="23">
        <v>1</v>
      </c>
      <c r="AU114" s="23">
        <v>2</v>
      </c>
    </row>
    <row r="115" spans="1:47">
      <c r="A115" s="26" t="s">
        <v>118</v>
      </c>
      <c r="B115" s="23" t="s">
        <v>120</v>
      </c>
      <c r="C115" s="23">
        <v>3</v>
      </c>
      <c r="E115" s="23" t="s">
        <v>60</v>
      </c>
      <c r="F115" s="23" t="s">
        <v>49</v>
      </c>
      <c r="G115" s="27">
        <v>2017</v>
      </c>
      <c r="H115" s="27">
        <v>20</v>
      </c>
      <c r="I115" s="27">
        <v>25</v>
      </c>
      <c r="J115" s="27">
        <v>20</v>
      </c>
      <c r="K115" s="27">
        <v>14</v>
      </c>
      <c r="L115" s="27">
        <v>14</v>
      </c>
      <c r="M115" s="27">
        <v>14</v>
      </c>
      <c r="P115" s="28">
        <f t="shared" si="60"/>
        <v>42</v>
      </c>
      <c r="Q115" s="28">
        <f t="shared" si="61"/>
        <v>22.508000000000003</v>
      </c>
      <c r="R115" s="28">
        <f t="shared" si="62"/>
        <v>32.816000000000003</v>
      </c>
      <c r="S115" s="27">
        <v>80</v>
      </c>
      <c r="T115" s="29">
        <f t="shared" si="73"/>
        <v>280.16000000000003</v>
      </c>
      <c r="U115" s="27">
        <v>206</v>
      </c>
      <c r="V115" s="27">
        <v>11</v>
      </c>
      <c r="W115" s="27">
        <v>105</v>
      </c>
      <c r="X115" s="29">
        <f t="shared" si="70"/>
        <v>200</v>
      </c>
      <c r="Y115" s="27" t="s">
        <v>69</v>
      </c>
      <c r="Z115" s="27" t="s">
        <v>315</v>
      </c>
      <c r="AA115" s="29">
        <f t="shared" si="63"/>
        <v>5</v>
      </c>
      <c r="AB115" s="29">
        <f t="shared" si="64"/>
        <v>8</v>
      </c>
      <c r="AC115" s="29" t="str">
        <f t="shared" si="65"/>
        <v/>
      </c>
      <c r="AD115" s="29" t="str">
        <f t="shared" si="66"/>
        <v/>
      </c>
      <c r="AE115" s="29" t="str">
        <f t="shared" si="67"/>
        <v/>
      </c>
      <c r="AF115" s="29" t="str">
        <f t="shared" si="68"/>
        <v/>
      </c>
      <c r="AG115" s="27">
        <v>13</v>
      </c>
      <c r="AH115" s="27">
        <v>0</v>
      </c>
      <c r="AI115" s="27">
        <v>0</v>
      </c>
      <c r="AJ115" s="23" t="s">
        <v>151</v>
      </c>
      <c r="AK115" s="23" t="s">
        <v>152</v>
      </c>
      <c r="AL115" s="30">
        <v>3</v>
      </c>
      <c r="AM115" s="30" t="s">
        <v>120</v>
      </c>
      <c r="AN115" s="31" t="str">
        <f t="shared" si="74"/>
        <v>3 doors</v>
      </c>
      <c r="AO115" s="23" t="s">
        <v>66</v>
      </c>
      <c r="AP115" s="23" t="s">
        <v>71</v>
      </c>
      <c r="AQ115" s="23" t="s">
        <v>78</v>
      </c>
      <c r="AR115" s="34">
        <f t="shared" si="69"/>
        <v>5502</v>
      </c>
      <c r="AS115" s="23">
        <v>55</v>
      </c>
      <c r="AT115" s="23">
        <v>2</v>
      </c>
      <c r="AU115" s="23">
        <v>0</v>
      </c>
    </row>
    <row r="116" spans="1:47">
      <c r="A116" s="26" t="s">
        <v>118</v>
      </c>
      <c r="B116" s="23" t="s">
        <v>120</v>
      </c>
      <c r="C116" s="23">
        <v>3</v>
      </c>
      <c r="E116" s="23" t="s">
        <v>60</v>
      </c>
      <c r="F116" s="23" t="s">
        <v>49</v>
      </c>
      <c r="G116" s="27">
        <v>2017</v>
      </c>
      <c r="H116" s="27">
        <v>20</v>
      </c>
      <c r="I116" s="27">
        <v>25</v>
      </c>
      <c r="J116" s="27">
        <v>20</v>
      </c>
      <c r="K116" s="27">
        <v>14</v>
      </c>
      <c r="L116" s="27">
        <v>14</v>
      </c>
      <c r="M116" s="27">
        <v>14</v>
      </c>
      <c r="P116" s="28">
        <f t="shared" si="60"/>
        <v>42</v>
      </c>
      <c r="Q116" s="28">
        <f t="shared" si="61"/>
        <v>22.508000000000003</v>
      </c>
      <c r="R116" s="28">
        <f t="shared" si="62"/>
        <v>32.816000000000003</v>
      </c>
      <c r="S116" s="27">
        <v>80</v>
      </c>
      <c r="T116" s="29">
        <f t="shared" si="73"/>
        <v>280.16000000000003</v>
      </c>
      <c r="U116" s="27">
        <v>206</v>
      </c>
      <c r="V116" s="27">
        <v>11</v>
      </c>
      <c r="W116" s="27">
        <v>105</v>
      </c>
      <c r="X116" s="29">
        <f t="shared" si="70"/>
        <v>200</v>
      </c>
      <c r="Y116" s="27" t="s">
        <v>102</v>
      </c>
      <c r="Z116" s="27" t="s">
        <v>102</v>
      </c>
      <c r="AA116" s="29">
        <f t="shared" si="63"/>
        <v>5</v>
      </c>
      <c r="AB116" s="29">
        <f t="shared" si="64"/>
        <v>8</v>
      </c>
      <c r="AC116" s="29" t="str">
        <f t="shared" si="65"/>
        <v/>
      </c>
      <c r="AD116" s="29" t="str">
        <f t="shared" si="66"/>
        <v/>
      </c>
      <c r="AE116" s="29" t="str">
        <f t="shared" si="67"/>
        <v/>
      </c>
      <c r="AF116" s="29" t="str">
        <f t="shared" si="68"/>
        <v/>
      </c>
      <c r="AG116" s="27">
        <v>13</v>
      </c>
      <c r="AH116" s="27">
        <v>0</v>
      </c>
      <c r="AI116" s="27">
        <v>0</v>
      </c>
      <c r="AJ116" s="23" t="s">
        <v>151</v>
      </c>
      <c r="AK116" s="23" t="s">
        <v>152</v>
      </c>
      <c r="AL116" s="30">
        <v>3</v>
      </c>
      <c r="AM116" s="30" t="s">
        <v>120</v>
      </c>
      <c r="AN116" s="31" t="str">
        <f t="shared" si="74"/>
        <v>3 doors</v>
      </c>
      <c r="AO116" s="23" t="s">
        <v>66</v>
      </c>
      <c r="AP116" s="23" t="s">
        <v>71</v>
      </c>
      <c r="AQ116" s="23" t="s">
        <v>78</v>
      </c>
      <c r="AR116" s="34">
        <f t="shared" si="69"/>
        <v>5502.01</v>
      </c>
      <c r="AS116" s="23">
        <v>55</v>
      </c>
      <c r="AT116" s="23">
        <v>2</v>
      </c>
      <c r="AU116" s="23">
        <v>1</v>
      </c>
    </row>
    <row r="117" spans="1:47">
      <c r="A117" s="26" t="s">
        <v>118</v>
      </c>
      <c r="B117" s="23" t="s">
        <v>120</v>
      </c>
      <c r="C117" s="23">
        <v>3</v>
      </c>
      <c r="E117" s="23" t="s">
        <v>60</v>
      </c>
      <c r="F117" s="23" t="s">
        <v>49</v>
      </c>
      <c r="G117" s="27">
        <v>2017</v>
      </c>
      <c r="H117" s="27">
        <v>20</v>
      </c>
      <c r="I117" s="27">
        <v>25</v>
      </c>
      <c r="J117" s="27">
        <v>20</v>
      </c>
      <c r="K117" s="27">
        <v>14</v>
      </c>
      <c r="L117" s="27">
        <v>14</v>
      </c>
      <c r="M117" s="27">
        <v>14</v>
      </c>
      <c r="P117" s="28">
        <f t="shared" si="60"/>
        <v>42</v>
      </c>
      <c r="Q117" s="28">
        <f t="shared" si="61"/>
        <v>22.508000000000003</v>
      </c>
      <c r="R117" s="28">
        <f t="shared" si="62"/>
        <v>32.816000000000003</v>
      </c>
      <c r="S117" s="27">
        <v>80</v>
      </c>
      <c r="T117" s="29">
        <f t="shared" si="73"/>
        <v>280.16000000000003</v>
      </c>
      <c r="U117" s="27">
        <v>206</v>
      </c>
      <c r="V117" s="27">
        <v>11</v>
      </c>
      <c r="W117" s="27">
        <v>105</v>
      </c>
      <c r="X117" s="29">
        <f t="shared" si="70"/>
        <v>200</v>
      </c>
      <c r="Y117" s="27" t="s">
        <v>186</v>
      </c>
      <c r="Z117" s="27" t="s">
        <v>186</v>
      </c>
      <c r="AA117" s="29">
        <f t="shared" si="63"/>
        <v>5</v>
      </c>
      <c r="AB117" s="29">
        <f t="shared" si="64"/>
        <v>8</v>
      </c>
      <c r="AC117" s="29" t="str">
        <f t="shared" si="65"/>
        <v/>
      </c>
      <c r="AD117" s="29" t="str">
        <f t="shared" si="66"/>
        <v/>
      </c>
      <c r="AE117" s="29" t="str">
        <f t="shared" si="67"/>
        <v/>
      </c>
      <c r="AF117" s="29" t="str">
        <f t="shared" si="68"/>
        <v/>
      </c>
      <c r="AG117" s="27">
        <v>13</v>
      </c>
      <c r="AH117" s="27">
        <v>0</v>
      </c>
      <c r="AI117" s="27">
        <v>0</v>
      </c>
      <c r="AJ117" s="23" t="s">
        <v>151</v>
      </c>
      <c r="AK117" s="23" t="s">
        <v>152</v>
      </c>
      <c r="AL117" s="30">
        <v>3</v>
      </c>
      <c r="AM117" s="30" t="s">
        <v>120</v>
      </c>
      <c r="AN117" s="31" t="str">
        <f t="shared" si="74"/>
        <v>3 doors</v>
      </c>
      <c r="AO117" s="23" t="s">
        <v>66</v>
      </c>
      <c r="AP117" s="23" t="s">
        <v>71</v>
      </c>
      <c r="AQ117" s="23" t="s">
        <v>78</v>
      </c>
      <c r="AR117" s="34">
        <f t="shared" si="69"/>
        <v>5502.02</v>
      </c>
      <c r="AS117" s="23">
        <v>55</v>
      </c>
      <c r="AT117" s="23">
        <v>2</v>
      </c>
      <c r="AU117" s="23">
        <v>2</v>
      </c>
    </row>
    <row r="118" spans="1:47">
      <c r="A118" s="26" t="s">
        <v>118</v>
      </c>
      <c r="B118" s="23" t="s">
        <v>121</v>
      </c>
      <c r="C118" s="23">
        <v>3</v>
      </c>
      <c r="E118" s="23" t="s">
        <v>61</v>
      </c>
      <c r="F118" s="23" t="s">
        <v>132</v>
      </c>
      <c r="G118" s="27">
        <v>2018</v>
      </c>
      <c r="H118" s="27">
        <v>20</v>
      </c>
      <c r="I118" s="27">
        <v>25</v>
      </c>
      <c r="J118" s="27">
        <v>20</v>
      </c>
      <c r="K118" s="27">
        <v>14</v>
      </c>
      <c r="L118" s="27">
        <v>14</v>
      </c>
      <c r="M118" s="27">
        <v>14</v>
      </c>
      <c r="P118" s="28">
        <f t="shared" si="60"/>
        <v>42</v>
      </c>
      <c r="Q118" s="28">
        <f t="shared" si="61"/>
        <v>29.376000000000001</v>
      </c>
      <c r="R118" s="28">
        <f t="shared" si="62"/>
        <v>30.088000000000001</v>
      </c>
      <c r="S118" s="27">
        <v>80</v>
      </c>
      <c r="T118" s="29">
        <f t="shared" si="73"/>
        <v>319.60000000000002</v>
      </c>
      <c r="U118" s="27">
        <v>235</v>
      </c>
      <c r="V118" s="27">
        <v>12</v>
      </c>
      <c r="W118" s="27">
        <v>105</v>
      </c>
      <c r="X118" s="29">
        <f t="shared" si="70"/>
        <v>200</v>
      </c>
      <c r="Y118" s="27" t="s">
        <v>69</v>
      </c>
      <c r="Z118" s="27" t="s">
        <v>315</v>
      </c>
      <c r="AA118" s="29">
        <f t="shared" si="63"/>
        <v>5</v>
      </c>
      <c r="AB118" s="29">
        <f t="shared" si="64"/>
        <v>8</v>
      </c>
      <c r="AC118" s="29" t="str">
        <f t="shared" si="65"/>
        <v/>
      </c>
      <c r="AD118" s="29" t="str">
        <f t="shared" si="66"/>
        <v/>
      </c>
      <c r="AE118" s="29" t="str">
        <f t="shared" si="67"/>
        <v/>
      </c>
      <c r="AF118" s="29" t="str">
        <f t="shared" si="68"/>
        <v/>
      </c>
      <c r="AG118" s="27">
        <v>13</v>
      </c>
      <c r="AH118" s="27">
        <v>0</v>
      </c>
      <c r="AI118" s="27">
        <v>0</v>
      </c>
      <c r="AJ118" s="23" t="s">
        <v>151</v>
      </c>
      <c r="AK118" s="23" t="s">
        <v>152</v>
      </c>
      <c r="AL118" s="30">
        <v>3</v>
      </c>
      <c r="AM118" s="30" t="s">
        <v>121</v>
      </c>
      <c r="AN118" s="31" t="str">
        <f t="shared" si="74"/>
        <v>3 doors</v>
      </c>
      <c r="AO118" s="23" t="s">
        <v>66</v>
      </c>
      <c r="AP118" s="23" t="s">
        <v>71</v>
      </c>
      <c r="AQ118" s="23" t="s">
        <v>78</v>
      </c>
      <c r="AR118" s="34">
        <f t="shared" si="69"/>
        <v>5503</v>
      </c>
      <c r="AS118" s="23">
        <v>55</v>
      </c>
      <c r="AT118" s="23">
        <v>3</v>
      </c>
      <c r="AU118" s="23">
        <v>0</v>
      </c>
    </row>
    <row r="119" spans="1:47">
      <c r="A119" s="26" t="s">
        <v>118</v>
      </c>
      <c r="B119" s="23" t="s">
        <v>121</v>
      </c>
      <c r="C119" s="23">
        <v>3</v>
      </c>
      <c r="E119" s="23" t="s">
        <v>61</v>
      </c>
      <c r="F119" s="23" t="s">
        <v>132</v>
      </c>
      <c r="G119" s="27">
        <v>2018</v>
      </c>
      <c r="H119" s="27">
        <v>20</v>
      </c>
      <c r="I119" s="27">
        <v>25</v>
      </c>
      <c r="J119" s="27">
        <v>20</v>
      </c>
      <c r="K119" s="27">
        <v>14</v>
      </c>
      <c r="L119" s="27">
        <v>14</v>
      </c>
      <c r="M119" s="27">
        <v>14</v>
      </c>
      <c r="P119" s="28">
        <f t="shared" si="60"/>
        <v>42</v>
      </c>
      <c r="Q119" s="28">
        <f t="shared" si="61"/>
        <v>29.376000000000001</v>
      </c>
      <c r="R119" s="28">
        <f t="shared" si="62"/>
        <v>30.088000000000001</v>
      </c>
      <c r="S119" s="27">
        <v>80</v>
      </c>
      <c r="T119" s="29">
        <f t="shared" si="73"/>
        <v>319.60000000000002</v>
      </c>
      <c r="U119" s="27">
        <v>235</v>
      </c>
      <c r="V119" s="27">
        <v>12</v>
      </c>
      <c r="W119" s="27">
        <v>105</v>
      </c>
      <c r="X119" s="29">
        <f t="shared" si="70"/>
        <v>200</v>
      </c>
      <c r="Y119" s="27" t="s">
        <v>102</v>
      </c>
      <c r="Z119" s="27" t="s">
        <v>102</v>
      </c>
      <c r="AA119" s="29">
        <f t="shared" si="63"/>
        <v>5</v>
      </c>
      <c r="AB119" s="29">
        <f t="shared" si="64"/>
        <v>8</v>
      </c>
      <c r="AC119" s="29" t="str">
        <f t="shared" si="65"/>
        <v/>
      </c>
      <c r="AD119" s="29" t="str">
        <f t="shared" si="66"/>
        <v/>
      </c>
      <c r="AE119" s="29" t="str">
        <f t="shared" si="67"/>
        <v/>
      </c>
      <c r="AF119" s="29" t="str">
        <f t="shared" si="68"/>
        <v/>
      </c>
      <c r="AG119" s="27">
        <v>13</v>
      </c>
      <c r="AH119" s="27">
        <v>0</v>
      </c>
      <c r="AI119" s="27">
        <v>0</v>
      </c>
      <c r="AJ119" s="23" t="s">
        <v>151</v>
      </c>
      <c r="AK119" s="23" t="s">
        <v>152</v>
      </c>
      <c r="AL119" s="30">
        <v>3</v>
      </c>
      <c r="AM119" s="30" t="s">
        <v>121</v>
      </c>
      <c r="AN119" s="31" t="str">
        <f t="shared" si="74"/>
        <v>3 doors</v>
      </c>
      <c r="AO119" s="23" t="s">
        <v>66</v>
      </c>
      <c r="AP119" s="23" t="s">
        <v>71</v>
      </c>
      <c r="AQ119" s="23" t="s">
        <v>78</v>
      </c>
      <c r="AR119" s="34">
        <f t="shared" si="69"/>
        <v>5503.01</v>
      </c>
      <c r="AS119" s="23">
        <v>55</v>
      </c>
      <c r="AT119" s="23">
        <v>3</v>
      </c>
      <c r="AU119" s="23">
        <v>1</v>
      </c>
    </row>
    <row r="120" spans="1:47">
      <c r="A120" s="26" t="s">
        <v>118</v>
      </c>
      <c r="B120" s="23" t="s">
        <v>122</v>
      </c>
      <c r="C120" s="23">
        <v>3</v>
      </c>
      <c r="E120" s="23" t="s">
        <v>76</v>
      </c>
      <c r="F120" s="23" t="s">
        <v>133</v>
      </c>
      <c r="G120" s="27">
        <v>2020</v>
      </c>
      <c r="H120" s="27">
        <v>20</v>
      </c>
      <c r="I120" s="27">
        <v>25</v>
      </c>
      <c r="J120" s="27">
        <v>20</v>
      </c>
      <c r="K120" s="27">
        <v>14</v>
      </c>
      <c r="L120" s="27">
        <v>14</v>
      </c>
      <c r="M120" s="27">
        <v>14</v>
      </c>
      <c r="P120" s="28">
        <f t="shared" si="60"/>
        <v>42</v>
      </c>
      <c r="Q120" s="28">
        <f t="shared" si="61"/>
        <v>37.980000000000004</v>
      </c>
      <c r="R120" s="28">
        <f t="shared" si="62"/>
        <v>20.37</v>
      </c>
      <c r="S120" s="27">
        <v>80</v>
      </c>
      <c r="T120" s="29">
        <f t="shared" si="73"/>
        <v>326.40000000000003</v>
      </c>
      <c r="U120" s="27">
        <v>240</v>
      </c>
      <c r="V120" s="27">
        <v>14</v>
      </c>
      <c r="W120" s="27">
        <v>105</v>
      </c>
      <c r="X120" s="29">
        <f t="shared" si="70"/>
        <v>200</v>
      </c>
      <c r="Y120" s="27" t="s">
        <v>69</v>
      </c>
      <c r="Z120" s="27" t="s">
        <v>315</v>
      </c>
      <c r="AA120" s="29">
        <f t="shared" si="63"/>
        <v>5</v>
      </c>
      <c r="AB120" s="29">
        <f t="shared" si="64"/>
        <v>8</v>
      </c>
      <c r="AC120" s="29" t="str">
        <f t="shared" si="65"/>
        <v/>
      </c>
      <c r="AD120" s="29" t="str">
        <f t="shared" si="66"/>
        <v/>
      </c>
      <c r="AE120" s="29" t="str">
        <f t="shared" si="67"/>
        <v/>
      </c>
      <c r="AF120" s="29" t="str">
        <f t="shared" si="68"/>
        <v/>
      </c>
      <c r="AG120" s="27">
        <v>13</v>
      </c>
      <c r="AH120" s="27">
        <v>0</v>
      </c>
      <c r="AI120" s="27">
        <v>0</v>
      </c>
      <c r="AJ120" s="23" t="s">
        <v>151</v>
      </c>
      <c r="AK120" s="23" t="s">
        <v>152</v>
      </c>
      <c r="AL120" s="30">
        <v>3</v>
      </c>
      <c r="AM120" s="30" t="s">
        <v>122</v>
      </c>
      <c r="AN120" s="31" t="str">
        <f t="shared" si="74"/>
        <v>3 doors</v>
      </c>
      <c r="AO120" s="23" t="s">
        <v>66</v>
      </c>
      <c r="AP120" s="23" t="s">
        <v>71</v>
      </c>
      <c r="AQ120" s="23" t="s">
        <v>78</v>
      </c>
      <c r="AR120" s="34">
        <f t="shared" si="69"/>
        <v>5504</v>
      </c>
      <c r="AS120" s="23">
        <v>55</v>
      </c>
      <c r="AT120" s="23">
        <v>4</v>
      </c>
      <c r="AU120" s="23">
        <v>0</v>
      </c>
    </row>
    <row r="121" spans="1:47">
      <c r="A121" s="26" t="s">
        <v>118</v>
      </c>
      <c r="B121" s="23" t="s">
        <v>122</v>
      </c>
      <c r="C121" s="23">
        <v>3</v>
      </c>
      <c r="E121" s="23" t="s">
        <v>76</v>
      </c>
      <c r="F121" s="23" t="s">
        <v>133</v>
      </c>
      <c r="G121" s="27">
        <v>2020</v>
      </c>
      <c r="H121" s="27">
        <v>20</v>
      </c>
      <c r="I121" s="27">
        <v>25</v>
      </c>
      <c r="J121" s="27">
        <v>20</v>
      </c>
      <c r="K121" s="27">
        <v>14</v>
      </c>
      <c r="L121" s="27">
        <v>14</v>
      </c>
      <c r="M121" s="27">
        <v>14</v>
      </c>
      <c r="P121" s="28">
        <f t="shared" si="60"/>
        <v>42</v>
      </c>
      <c r="Q121" s="28">
        <f t="shared" si="61"/>
        <v>37.980000000000004</v>
      </c>
      <c r="R121" s="28">
        <f t="shared" si="62"/>
        <v>20.37</v>
      </c>
      <c r="S121" s="27">
        <v>80</v>
      </c>
      <c r="T121" s="29">
        <f t="shared" si="73"/>
        <v>326.40000000000003</v>
      </c>
      <c r="U121" s="27">
        <v>240</v>
      </c>
      <c r="V121" s="27">
        <v>14</v>
      </c>
      <c r="W121" s="27">
        <v>105</v>
      </c>
      <c r="X121" s="29">
        <f t="shared" si="70"/>
        <v>200</v>
      </c>
      <c r="Y121" s="27" t="s">
        <v>102</v>
      </c>
      <c r="Z121" s="27" t="s">
        <v>102</v>
      </c>
      <c r="AA121" s="29">
        <f t="shared" si="63"/>
        <v>5</v>
      </c>
      <c r="AB121" s="29">
        <f t="shared" si="64"/>
        <v>8</v>
      </c>
      <c r="AC121" s="29" t="str">
        <f t="shared" si="65"/>
        <v/>
      </c>
      <c r="AD121" s="29" t="str">
        <f t="shared" si="66"/>
        <v/>
      </c>
      <c r="AE121" s="29" t="str">
        <f t="shared" si="67"/>
        <v/>
      </c>
      <c r="AF121" s="29" t="str">
        <f t="shared" si="68"/>
        <v/>
      </c>
      <c r="AG121" s="27">
        <v>13</v>
      </c>
      <c r="AH121" s="27">
        <v>0</v>
      </c>
      <c r="AI121" s="27">
        <v>0</v>
      </c>
      <c r="AJ121" s="23" t="s">
        <v>151</v>
      </c>
      <c r="AK121" s="23" t="s">
        <v>152</v>
      </c>
      <c r="AL121" s="30">
        <v>3</v>
      </c>
      <c r="AM121" s="30" t="s">
        <v>122</v>
      </c>
      <c r="AN121" s="31" t="str">
        <f t="shared" si="74"/>
        <v>3 doors</v>
      </c>
      <c r="AO121" s="23" t="s">
        <v>66</v>
      </c>
      <c r="AP121" s="23" t="s">
        <v>71</v>
      </c>
      <c r="AQ121" s="23" t="s">
        <v>78</v>
      </c>
      <c r="AR121" s="34">
        <f t="shared" si="69"/>
        <v>5504.01</v>
      </c>
      <c r="AS121" s="23">
        <v>55</v>
      </c>
      <c r="AT121" s="23">
        <v>4</v>
      </c>
      <c r="AU121" s="23">
        <v>1</v>
      </c>
    </row>
    <row r="122" spans="1:47">
      <c r="A122" s="26" t="s">
        <v>118</v>
      </c>
      <c r="B122" s="23" t="s">
        <v>120</v>
      </c>
      <c r="C122" s="23">
        <v>2</v>
      </c>
      <c r="E122" s="23" t="s">
        <v>60</v>
      </c>
      <c r="F122" s="23" t="s">
        <v>134</v>
      </c>
      <c r="G122" s="27">
        <v>2017</v>
      </c>
      <c r="H122" s="27">
        <v>20</v>
      </c>
      <c r="I122" s="27">
        <v>25</v>
      </c>
      <c r="J122" s="27">
        <v>20</v>
      </c>
      <c r="K122" s="27">
        <v>14</v>
      </c>
      <c r="L122" s="27">
        <v>14</v>
      </c>
      <c r="P122" s="28">
        <f t="shared" si="60"/>
        <v>28</v>
      </c>
      <c r="Q122" s="28">
        <f t="shared" si="61"/>
        <v>21.508000000000003</v>
      </c>
      <c r="R122" s="28">
        <f t="shared" si="62"/>
        <v>31.816000000000003</v>
      </c>
      <c r="S122" s="27">
        <v>80</v>
      </c>
      <c r="T122" s="29">
        <f t="shared" si="73"/>
        <v>280.16000000000003</v>
      </c>
      <c r="U122" s="27">
        <v>206</v>
      </c>
      <c r="V122" s="27">
        <v>11</v>
      </c>
      <c r="W122" s="27">
        <v>105</v>
      </c>
      <c r="X122" s="29">
        <f t="shared" si="70"/>
        <v>200</v>
      </c>
      <c r="Y122" s="27" t="s">
        <v>69</v>
      </c>
      <c r="Z122" s="27" t="s">
        <v>315</v>
      </c>
      <c r="AA122" s="29">
        <f t="shared" si="63"/>
        <v>5</v>
      </c>
      <c r="AB122" s="29">
        <f t="shared" si="64"/>
        <v>8</v>
      </c>
      <c r="AC122" s="29" t="str">
        <f t="shared" si="65"/>
        <v/>
      </c>
      <c r="AD122" s="29" t="str">
        <f t="shared" si="66"/>
        <v/>
      </c>
      <c r="AE122" s="29" t="str">
        <f t="shared" si="67"/>
        <v/>
      </c>
      <c r="AF122" s="29" t="str">
        <f t="shared" si="68"/>
        <v/>
      </c>
      <c r="AG122" s="27">
        <v>13</v>
      </c>
      <c r="AH122" s="27">
        <v>0</v>
      </c>
      <c r="AI122" s="27">
        <v>0</v>
      </c>
      <c r="AJ122" s="23" t="s">
        <v>151</v>
      </c>
      <c r="AK122" s="23" t="s">
        <v>152</v>
      </c>
      <c r="AL122" s="30">
        <v>3</v>
      </c>
      <c r="AM122" s="30" t="s">
        <v>120</v>
      </c>
      <c r="AN122" s="31" t="str">
        <f t="shared" si="74"/>
        <v>2 doors</v>
      </c>
      <c r="AO122" s="23" t="s">
        <v>66</v>
      </c>
      <c r="AP122" s="23" t="s">
        <v>71</v>
      </c>
      <c r="AQ122" s="23" t="s">
        <v>78</v>
      </c>
      <c r="AR122" s="34">
        <f t="shared" si="69"/>
        <v>5505</v>
      </c>
      <c r="AS122" s="23">
        <v>55</v>
      </c>
      <c r="AT122" s="23">
        <v>5</v>
      </c>
      <c r="AU122" s="23">
        <v>0</v>
      </c>
    </row>
    <row r="123" spans="1:47">
      <c r="A123" s="26" t="s">
        <v>118</v>
      </c>
      <c r="B123" s="23" t="s">
        <v>120</v>
      </c>
      <c r="C123" s="23">
        <v>2</v>
      </c>
      <c r="E123" s="23" t="s">
        <v>60</v>
      </c>
      <c r="F123" s="23" t="s">
        <v>134</v>
      </c>
      <c r="G123" s="27">
        <v>2017</v>
      </c>
      <c r="H123" s="27">
        <v>20</v>
      </c>
      <c r="I123" s="27">
        <v>25</v>
      </c>
      <c r="J123" s="27">
        <v>20</v>
      </c>
      <c r="K123" s="27">
        <v>14</v>
      </c>
      <c r="L123" s="27">
        <v>14</v>
      </c>
      <c r="P123" s="28">
        <f t="shared" si="60"/>
        <v>28</v>
      </c>
      <c r="Q123" s="28">
        <f t="shared" si="61"/>
        <v>21.508000000000003</v>
      </c>
      <c r="R123" s="28">
        <f t="shared" si="62"/>
        <v>31.816000000000003</v>
      </c>
      <c r="S123" s="27">
        <v>80</v>
      </c>
      <c r="T123" s="29">
        <f t="shared" si="73"/>
        <v>280.16000000000003</v>
      </c>
      <c r="U123" s="27">
        <v>206</v>
      </c>
      <c r="V123" s="27">
        <v>11</v>
      </c>
      <c r="W123" s="27">
        <v>105</v>
      </c>
      <c r="X123" s="29">
        <f t="shared" si="70"/>
        <v>200</v>
      </c>
      <c r="Y123" s="27" t="s">
        <v>102</v>
      </c>
      <c r="Z123" s="27" t="s">
        <v>102</v>
      </c>
      <c r="AA123" s="29">
        <f t="shared" si="63"/>
        <v>5</v>
      </c>
      <c r="AB123" s="29">
        <f t="shared" si="64"/>
        <v>8</v>
      </c>
      <c r="AC123" s="29" t="str">
        <f t="shared" si="65"/>
        <v/>
      </c>
      <c r="AD123" s="29" t="str">
        <f t="shared" si="66"/>
        <v/>
      </c>
      <c r="AE123" s="29" t="str">
        <f t="shared" si="67"/>
        <v/>
      </c>
      <c r="AF123" s="29" t="str">
        <f t="shared" si="68"/>
        <v/>
      </c>
      <c r="AG123" s="27">
        <v>13</v>
      </c>
      <c r="AH123" s="27">
        <v>0</v>
      </c>
      <c r="AI123" s="27">
        <v>0</v>
      </c>
      <c r="AJ123" s="23" t="s">
        <v>151</v>
      </c>
      <c r="AK123" s="23" t="s">
        <v>152</v>
      </c>
      <c r="AL123" s="30">
        <v>3</v>
      </c>
      <c r="AM123" s="30" t="s">
        <v>120</v>
      </c>
      <c r="AN123" s="31" t="str">
        <f t="shared" si="74"/>
        <v>2 doors</v>
      </c>
      <c r="AO123" s="23" t="s">
        <v>66</v>
      </c>
      <c r="AP123" s="23" t="s">
        <v>71</v>
      </c>
      <c r="AQ123" s="23" t="s">
        <v>78</v>
      </c>
      <c r="AR123" s="34">
        <f t="shared" si="69"/>
        <v>5505.01</v>
      </c>
      <c r="AS123" s="23">
        <v>55</v>
      </c>
      <c r="AT123" s="23">
        <v>5</v>
      </c>
      <c r="AU123" s="23">
        <v>1</v>
      </c>
    </row>
    <row r="124" spans="1:47">
      <c r="A124" s="26" t="s">
        <v>118</v>
      </c>
      <c r="B124" s="23" t="s">
        <v>121</v>
      </c>
      <c r="C124" s="23">
        <v>2</v>
      </c>
      <c r="E124" s="23" t="s">
        <v>61</v>
      </c>
      <c r="F124" s="23" t="s">
        <v>135</v>
      </c>
      <c r="G124" s="27">
        <v>2018</v>
      </c>
      <c r="H124" s="27">
        <v>20</v>
      </c>
      <c r="I124" s="27">
        <v>25</v>
      </c>
      <c r="J124" s="27">
        <v>20</v>
      </c>
      <c r="K124" s="27">
        <v>14</v>
      </c>
      <c r="L124" s="27">
        <v>14</v>
      </c>
      <c r="P124" s="28">
        <f t="shared" si="60"/>
        <v>28</v>
      </c>
      <c r="Q124" s="28">
        <f t="shared" si="61"/>
        <v>28.376000000000001</v>
      </c>
      <c r="R124" s="28">
        <f t="shared" si="62"/>
        <v>29.088000000000001</v>
      </c>
      <c r="S124" s="27">
        <v>80</v>
      </c>
      <c r="T124" s="29">
        <f t="shared" si="73"/>
        <v>319.60000000000002</v>
      </c>
      <c r="U124" s="27">
        <v>235</v>
      </c>
      <c r="V124" s="27">
        <v>12</v>
      </c>
      <c r="W124" s="27">
        <v>105</v>
      </c>
      <c r="X124" s="29">
        <f t="shared" si="70"/>
        <v>200</v>
      </c>
      <c r="Y124" s="27" t="s">
        <v>69</v>
      </c>
      <c r="Z124" s="27" t="s">
        <v>315</v>
      </c>
      <c r="AA124" s="29">
        <f t="shared" si="63"/>
        <v>5</v>
      </c>
      <c r="AB124" s="29">
        <f t="shared" si="64"/>
        <v>8</v>
      </c>
      <c r="AC124" s="29" t="str">
        <f t="shared" si="65"/>
        <v/>
      </c>
      <c r="AD124" s="29" t="str">
        <f t="shared" si="66"/>
        <v/>
      </c>
      <c r="AE124" s="29" t="str">
        <f t="shared" si="67"/>
        <v/>
      </c>
      <c r="AF124" s="29" t="str">
        <f t="shared" si="68"/>
        <v/>
      </c>
      <c r="AG124" s="27">
        <v>13</v>
      </c>
      <c r="AH124" s="27">
        <v>0</v>
      </c>
      <c r="AI124" s="27">
        <v>0</v>
      </c>
      <c r="AJ124" s="23" t="s">
        <v>151</v>
      </c>
      <c r="AK124" s="23" t="s">
        <v>152</v>
      </c>
      <c r="AL124" s="30">
        <v>3</v>
      </c>
      <c r="AM124" s="30" t="s">
        <v>121</v>
      </c>
      <c r="AN124" s="31" t="str">
        <f t="shared" si="74"/>
        <v>2 doors</v>
      </c>
      <c r="AO124" s="23" t="s">
        <v>66</v>
      </c>
      <c r="AP124" s="23" t="s">
        <v>71</v>
      </c>
      <c r="AQ124" s="23" t="s">
        <v>78</v>
      </c>
      <c r="AR124" s="34">
        <f t="shared" si="69"/>
        <v>5506</v>
      </c>
      <c r="AS124" s="23">
        <v>55</v>
      </c>
      <c r="AT124" s="23">
        <v>6</v>
      </c>
      <c r="AU124" s="23">
        <v>0</v>
      </c>
    </row>
    <row r="125" spans="1:47">
      <c r="A125" s="26" t="s">
        <v>118</v>
      </c>
      <c r="B125" s="23" t="s">
        <v>121</v>
      </c>
      <c r="C125" s="23">
        <v>2</v>
      </c>
      <c r="E125" s="23" t="s">
        <v>61</v>
      </c>
      <c r="F125" s="23" t="s">
        <v>135</v>
      </c>
      <c r="G125" s="27">
        <v>2018</v>
      </c>
      <c r="H125" s="27">
        <v>20</v>
      </c>
      <c r="I125" s="27">
        <v>25</v>
      </c>
      <c r="J125" s="27">
        <v>20</v>
      </c>
      <c r="K125" s="27">
        <v>14</v>
      </c>
      <c r="L125" s="27">
        <v>14</v>
      </c>
      <c r="P125" s="28">
        <f t="shared" si="60"/>
        <v>28</v>
      </c>
      <c r="Q125" s="28">
        <f t="shared" si="61"/>
        <v>28.376000000000001</v>
      </c>
      <c r="R125" s="28">
        <f t="shared" si="62"/>
        <v>29.088000000000001</v>
      </c>
      <c r="S125" s="27">
        <v>80</v>
      </c>
      <c r="T125" s="29">
        <f t="shared" si="73"/>
        <v>319.60000000000002</v>
      </c>
      <c r="U125" s="27">
        <v>235</v>
      </c>
      <c r="V125" s="27">
        <v>12</v>
      </c>
      <c r="W125" s="27">
        <v>105</v>
      </c>
      <c r="X125" s="29">
        <f t="shared" si="70"/>
        <v>200</v>
      </c>
      <c r="Y125" s="27" t="s">
        <v>102</v>
      </c>
      <c r="Z125" s="27" t="s">
        <v>102</v>
      </c>
      <c r="AA125" s="29">
        <f t="shared" si="63"/>
        <v>5</v>
      </c>
      <c r="AB125" s="29">
        <f t="shared" si="64"/>
        <v>8</v>
      </c>
      <c r="AC125" s="29" t="str">
        <f t="shared" si="65"/>
        <v/>
      </c>
      <c r="AD125" s="29" t="str">
        <f t="shared" si="66"/>
        <v/>
      </c>
      <c r="AE125" s="29" t="str">
        <f t="shared" si="67"/>
        <v/>
      </c>
      <c r="AF125" s="29" t="str">
        <f t="shared" si="68"/>
        <v/>
      </c>
      <c r="AG125" s="27">
        <v>13</v>
      </c>
      <c r="AH125" s="27">
        <v>0</v>
      </c>
      <c r="AI125" s="27">
        <v>0</v>
      </c>
      <c r="AJ125" s="23" t="s">
        <v>151</v>
      </c>
      <c r="AK125" s="23" t="s">
        <v>152</v>
      </c>
      <c r="AL125" s="30">
        <v>3</v>
      </c>
      <c r="AM125" s="30" t="s">
        <v>121</v>
      </c>
      <c r="AN125" s="31" t="str">
        <f t="shared" si="74"/>
        <v>2 doors</v>
      </c>
      <c r="AO125" s="23" t="s">
        <v>66</v>
      </c>
      <c r="AP125" s="23" t="s">
        <v>71</v>
      </c>
      <c r="AQ125" s="23" t="s">
        <v>78</v>
      </c>
      <c r="AR125" s="34">
        <f t="shared" si="69"/>
        <v>5506.01</v>
      </c>
      <c r="AS125" s="23">
        <v>55</v>
      </c>
      <c r="AT125" s="23">
        <v>6</v>
      </c>
      <c r="AU125" s="23">
        <v>1</v>
      </c>
    </row>
    <row r="126" spans="1:47">
      <c r="A126" s="26" t="s">
        <v>118</v>
      </c>
      <c r="B126" s="23" t="s">
        <v>122</v>
      </c>
      <c r="C126" s="23">
        <v>2</v>
      </c>
      <c r="E126" s="23" t="s">
        <v>76</v>
      </c>
      <c r="F126" s="23" t="s">
        <v>136</v>
      </c>
      <c r="G126" s="27">
        <v>2020</v>
      </c>
      <c r="H126" s="27">
        <v>20</v>
      </c>
      <c r="I126" s="27">
        <v>25</v>
      </c>
      <c r="J126" s="27">
        <v>20</v>
      </c>
      <c r="K126" s="27">
        <v>14</v>
      </c>
      <c r="L126" s="27">
        <v>14</v>
      </c>
      <c r="P126" s="28">
        <f t="shared" si="60"/>
        <v>28</v>
      </c>
      <c r="Q126" s="28">
        <f t="shared" si="61"/>
        <v>36.980000000000004</v>
      </c>
      <c r="R126" s="28">
        <f t="shared" si="62"/>
        <v>19.37</v>
      </c>
      <c r="S126" s="27">
        <v>80</v>
      </c>
      <c r="T126" s="29">
        <f t="shared" si="73"/>
        <v>326.40000000000003</v>
      </c>
      <c r="U126" s="27">
        <v>240</v>
      </c>
      <c r="V126" s="27">
        <v>14</v>
      </c>
      <c r="W126" s="27">
        <v>105</v>
      </c>
      <c r="X126" s="29">
        <f t="shared" si="70"/>
        <v>200</v>
      </c>
      <c r="Y126" s="27" t="s">
        <v>69</v>
      </c>
      <c r="Z126" s="27" t="s">
        <v>315</v>
      </c>
      <c r="AA126" s="29">
        <f t="shared" si="63"/>
        <v>5</v>
      </c>
      <c r="AB126" s="29">
        <f t="shared" si="64"/>
        <v>8</v>
      </c>
      <c r="AC126" s="29" t="str">
        <f t="shared" si="65"/>
        <v/>
      </c>
      <c r="AD126" s="29" t="str">
        <f t="shared" si="66"/>
        <v/>
      </c>
      <c r="AE126" s="29" t="str">
        <f t="shared" si="67"/>
        <v/>
      </c>
      <c r="AF126" s="29" t="str">
        <f t="shared" si="68"/>
        <v/>
      </c>
      <c r="AG126" s="27">
        <v>13</v>
      </c>
      <c r="AH126" s="27">
        <v>0</v>
      </c>
      <c r="AI126" s="27">
        <v>0</v>
      </c>
      <c r="AJ126" s="23" t="s">
        <v>151</v>
      </c>
      <c r="AK126" s="23" t="s">
        <v>152</v>
      </c>
      <c r="AL126" s="30">
        <v>3</v>
      </c>
      <c r="AM126" s="30" t="s">
        <v>122</v>
      </c>
      <c r="AN126" s="31" t="str">
        <f t="shared" si="74"/>
        <v>2 doors</v>
      </c>
      <c r="AO126" s="23" t="s">
        <v>66</v>
      </c>
      <c r="AP126" s="23" t="s">
        <v>71</v>
      </c>
      <c r="AQ126" s="23" t="s">
        <v>78</v>
      </c>
      <c r="AR126" s="34">
        <f t="shared" si="69"/>
        <v>5507</v>
      </c>
      <c r="AS126" s="23">
        <v>55</v>
      </c>
      <c r="AT126" s="23">
        <v>7</v>
      </c>
      <c r="AU126" s="23">
        <v>0</v>
      </c>
    </row>
    <row r="127" spans="1:47">
      <c r="A127" s="26" t="s">
        <v>118</v>
      </c>
      <c r="B127" s="23" t="s">
        <v>122</v>
      </c>
      <c r="C127" s="23">
        <v>2</v>
      </c>
      <c r="E127" s="23" t="s">
        <v>76</v>
      </c>
      <c r="F127" s="23" t="s">
        <v>136</v>
      </c>
      <c r="G127" s="27">
        <v>2020</v>
      </c>
      <c r="H127" s="27">
        <v>20</v>
      </c>
      <c r="I127" s="27">
        <v>25</v>
      </c>
      <c r="J127" s="27">
        <v>20</v>
      </c>
      <c r="K127" s="27">
        <v>14</v>
      </c>
      <c r="L127" s="27">
        <v>14</v>
      </c>
      <c r="P127" s="28">
        <f t="shared" si="60"/>
        <v>28</v>
      </c>
      <c r="Q127" s="28">
        <f t="shared" si="61"/>
        <v>36.980000000000004</v>
      </c>
      <c r="R127" s="28">
        <f t="shared" si="62"/>
        <v>19.37</v>
      </c>
      <c r="S127" s="27">
        <v>80</v>
      </c>
      <c r="T127" s="29">
        <f t="shared" si="73"/>
        <v>326.40000000000003</v>
      </c>
      <c r="U127" s="27">
        <v>240</v>
      </c>
      <c r="V127" s="27">
        <v>14</v>
      </c>
      <c r="W127" s="27">
        <v>105</v>
      </c>
      <c r="X127" s="29">
        <f t="shared" si="70"/>
        <v>200</v>
      </c>
      <c r="Y127" s="27" t="s">
        <v>102</v>
      </c>
      <c r="Z127" s="27" t="s">
        <v>102</v>
      </c>
      <c r="AA127" s="29">
        <f t="shared" si="63"/>
        <v>5</v>
      </c>
      <c r="AB127" s="29">
        <f t="shared" si="64"/>
        <v>8</v>
      </c>
      <c r="AC127" s="29" t="str">
        <f t="shared" si="65"/>
        <v/>
      </c>
      <c r="AD127" s="29" t="str">
        <f t="shared" si="66"/>
        <v/>
      </c>
      <c r="AE127" s="29" t="str">
        <f t="shared" si="67"/>
        <v/>
      </c>
      <c r="AF127" s="29" t="str">
        <f t="shared" si="68"/>
        <v/>
      </c>
      <c r="AG127" s="27">
        <v>13</v>
      </c>
      <c r="AH127" s="27">
        <v>0</v>
      </c>
      <c r="AI127" s="27">
        <v>0</v>
      </c>
      <c r="AJ127" s="23" t="s">
        <v>151</v>
      </c>
      <c r="AK127" s="23" t="s">
        <v>152</v>
      </c>
      <c r="AL127" s="30">
        <v>3</v>
      </c>
      <c r="AM127" s="30" t="s">
        <v>122</v>
      </c>
      <c r="AN127" s="31" t="str">
        <f t="shared" si="74"/>
        <v>2 doors</v>
      </c>
      <c r="AO127" s="23" t="s">
        <v>66</v>
      </c>
      <c r="AP127" s="23" t="s">
        <v>71</v>
      </c>
      <c r="AQ127" s="23" t="s">
        <v>78</v>
      </c>
      <c r="AR127" s="34">
        <f t="shared" si="69"/>
        <v>5507.01</v>
      </c>
      <c r="AS127" s="23">
        <v>55</v>
      </c>
      <c r="AT127" s="23">
        <v>7</v>
      </c>
      <c r="AU127" s="23">
        <v>1</v>
      </c>
    </row>
    <row r="128" spans="1:47">
      <c r="A128" s="26" t="s">
        <v>118</v>
      </c>
      <c r="B128" s="23" t="s">
        <v>123</v>
      </c>
      <c r="C128" s="23">
        <v>4</v>
      </c>
      <c r="E128" s="23" t="s">
        <v>60</v>
      </c>
      <c r="F128" s="23" t="s">
        <v>137</v>
      </c>
      <c r="G128" s="27">
        <v>2017</v>
      </c>
      <c r="H128" s="27">
        <v>20</v>
      </c>
      <c r="I128" s="27">
        <v>25</v>
      </c>
      <c r="J128" s="27">
        <v>20</v>
      </c>
      <c r="K128" s="27">
        <v>14</v>
      </c>
      <c r="L128" s="27">
        <v>14</v>
      </c>
      <c r="M128" s="27">
        <v>14</v>
      </c>
      <c r="N128" s="27">
        <v>14</v>
      </c>
      <c r="P128" s="28">
        <f t="shared" si="60"/>
        <v>56</v>
      </c>
      <c r="Q128" s="28">
        <f t="shared" si="61"/>
        <v>30.520000000000003</v>
      </c>
      <c r="R128" s="28">
        <f t="shared" si="62"/>
        <v>42.88</v>
      </c>
      <c r="S128" s="27">
        <v>80</v>
      </c>
      <c r="T128" s="29">
        <f t="shared" si="73"/>
        <v>360.40000000000003</v>
      </c>
      <c r="U128" s="27">
        <v>265</v>
      </c>
      <c r="V128" s="27">
        <v>17</v>
      </c>
      <c r="W128" s="27">
        <v>171</v>
      </c>
      <c r="X128" s="29">
        <f t="shared" si="70"/>
        <v>200</v>
      </c>
      <c r="Y128" s="27" t="s">
        <v>69</v>
      </c>
      <c r="Z128" s="27" t="s">
        <v>315</v>
      </c>
      <c r="AA128" s="29">
        <f t="shared" si="63"/>
        <v>2</v>
      </c>
      <c r="AB128" s="29">
        <f t="shared" si="64"/>
        <v>8</v>
      </c>
      <c r="AC128" s="29">
        <f t="shared" si="65"/>
        <v>1</v>
      </c>
      <c r="AD128" s="29">
        <f t="shared" si="66"/>
        <v>8</v>
      </c>
      <c r="AE128" s="29" t="str">
        <f t="shared" si="67"/>
        <v/>
      </c>
      <c r="AF128" s="29" t="str">
        <f t="shared" si="68"/>
        <v/>
      </c>
      <c r="AG128" s="27">
        <v>10</v>
      </c>
      <c r="AH128" s="27">
        <v>9</v>
      </c>
      <c r="AI128" s="27">
        <v>0</v>
      </c>
      <c r="AJ128" s="23" t="s">
        <v>151</v>
      </c>
      <c r="AK128" s="23" t="s">
        <v>152</v>
      </c>
      <c r="AL128" s="30">
        <v>3</v>
      </c>
      <c r="AM128" s="30" t="s">
        <v>123</v>
      </c>
      <c r="AN128" s="31" t="str">
        <f t="shared" si="74"/>
        <v>4 doors</v>
      </c>
      <c r="AO128" s="23" t="s">
        <v>85</v>
      </c>
      <c r="AP128" s="23" t="s">
        <v>71</v>
      </c>
      <c r="AQ128" s="23" t="s">
        <v>78</v>
      </c>
      <c r="AR128" s="34">
        <f t="shared" si="69"/>
        <v>5508</v>
      </c>
      <c r="AS128" s="23">
        <v>55</v>
      </c>
      <c r="AT128" s="23">
        <v>8</v>
      </c>
      <c r="AU128" s="23">
        <v>0</v>
      </c>
    </row>
    <row r="129" spans="1:47">
      <c r="A129" s="26" t="s">
        <v>118</v>
      </c>
      <c r="B129" s="23" t="s">
        <v>123</v>
      </c>
      <c r="C129" s="23">
        <v>4</v>
      </c>
      <c r="E129" s="23" t="s">
        <v>60</v>
      </c>
      <c r="F129" s="23" t="s">
        <v>137</v>
      </c>
      <c r="G129" s="27">
        <v>2017</v>
      </c>
      <c r="H129" s="27">
        <v>20</v>
      </c>
      <c r="I129" s="27">
        <v>25</v>
      </c>
      <c r="J129" s="27">
        <v>20</v>
      </c>
      <c r="K129" s="27">
        <v>14</v>
      </c>
      <c r="L129" s="27">
        <v>14</v>
      </c>
      <c r="M129" s="27">
        <v>14</v>
      </c>
      <c r="N129" s="27">
        <v>14</v>
      </c>
      <c r="P129" s="28">
        <f t="shared" si="60"/>
        <v>56</v>
      </c>
      <c r="Q129" s="28">
        <f t="shared" si="61"/>
        <v>30.520000000000003</v>
      </c>
      <c r="R129" s="28">
        <f t="shared" si="62"/>
        <v>42.88</v>
      </c>
      <c r="S129" s="27">
        <v>80</v>
      </c>
      <c r="T129" s="29">
        <f t="shared" si="73"/>
        <v>360.40000000000003</v>
      </c>
      <c r="U129" s="27">
        <v>265</v>
      </c>
      <c r="V129" s="27">
        <v>17</v>
      </c>
      <c r="W129" s="27">
        <v>171</v>
      </c>
      <c r="X129" s="29">
        <f t="shared" si="70"/>
        <v>200</v>
      </c>
      <c r="Y129" s="27" t="s">
        <v>102</v>
      </c>
      <c r="Z129" s="27" t="s">
        <v>102</v>
      </c>
      <c r="AA129" s="29">
        <f t="shared" si="63"/>
        <v>2</v>
      </c>
      <c r="AB129" s="29">
        <f t="shared" si="64"/>
        <v>8</v>
      </c>
      <c r="AC129" s="29">
        <f t="shared" si="65"/>
        <v>1</v>
      </c>
      <c r="AD129" s="29">
        <f t="shared" si="66"/>
        <v>8</v>
      </c>
      <c r="AE129" s="29" t="str">
        <f t="shared" si="67"/>
        <v/>
      </c>
      <c r="AF129" s="29" t="str">
        <f t="shared" si="68"/>
        <v/>
      </c>
      <c r="AG129" s="27">
        <v>10</v>
      </c>
      <c r="AH129" s="27">
        <v>9</v>
      </c>
      <c r="AI129" s="27">
        <v>0</v>
      </c>
      <c r="AJ129" s="23" t="s">
        <v>151</v>
      </c>
      <c r="AK129" s="23" t="s">
        <v>152</v>
      </c>
      <c r="AL129" s="30">
        <v>3</v>
      </c>
      <c r="AM129" s="30" t="s">
        <v>123</v>
      </c>
      <c r="AN129" s="31" t="str">
        <f t="shared" si="74"/>
        <v>4 doors</v>
      </c>
      <c r="AO129" s="23" t="s">
        <v>85</v>
      </c>
      <c r="AP129" s="23" t="s">
        <v>71</v>
      </c>
      <c r="AQ129" s="23" t="s">
        <v>78</v>
      </c>
      <c r="AR129" s="34">
        <f t="shared" si="69"/>
        <v>5508.01</v>
      </c>
      <c r="AS129" s="23">
        <v>55</v>
      </c>
      <c r="AT129" s="23">
        <v>8</v>
      </c>
      <c r="AU129" s="23">
        <v>1</v>
      </c>
    </row>
    <row r="130" spans="1:47">
      <c r="A130" s="26" t="s">
        <v>118</v>
      </c>
      <c r="B130" s="23" t="s">
        <v>124</v>
      </c>
      <c r="C130" s="23">
        <v>4</v>
      </c>
      <c r="E130" s="23" t="s">
        <v>61</v>
      </c>
      <c r="F130" s="23" t="s">
        <v>138</v>
      </c>
      <c r="G130" s="27">
        <v>2018</v>
      </c>
      <c r="H130" s="27">
        <v>20</v>
      </c>
      <c r="I130" s="27">
        <v>25</v>
      </c>
      <c r="J130" s="27">
        <v>20</v>
      </c>
      <c r="K130" s="27">
        <v>14</v>
      </c>
      <c r="L130" s="27">
        <v>14</v>
      </c>
      <c r="M130" s="27">
        <v>14</v>
      </c>
      <c r="N130" s="27">
        <v>14</v>
      </c>
      <c r="P130" s="28">
        <f t="shared" si="60"/>
        <v>56</v>
      </c>
      <c r="Q130" s="28">
        <f t="shared" si="61"/>
        <v>33.975999999999999</v>
      </c>
      <c r="R130" s="28">
        <f t="shared" si="62"/>
        <v>31.92</v>
      </c>
      <c r="S130" s="27">
        <v>80</v>
      </c>
      <c r="T130" s="29">
        <f t="shared" ref="T130:T162" si="88">U130*1.36</f>
        <v>319.60000000000002</v>
      </c>
      <c r="U130" s="27">
        <v>235</v>
      </c>
      <c r="V130" s="27">
        <v>18</v>
      </c>
      <c r="W130" s="27">
        <v>171</v>
      </c>
      <c r="X130" s="29">
        <f t="shared" si="70"/>
        <v>200</v>
      </c>
      <c r="Y130" s="27" t="s">
        <v>69</v>
      </c>
      <c r="Z130" s="27" t="s">
        <v>315</v>
      </c>
      <c r="AA130" s="29">
        <f t="shared" si="63"/>
        <v>2</v>
      </c>
      <c r="AB130" s="29">
        <f t="shared" si="64"/>
        <v>8</v>
      </c>
      <c r="AC130" s="29">
        <f t="shared" si="65"/>
        <v>1</v>
      </c>
      <c r="AD130" s="29">
        <f t="shared" si="66"/>
        <v>8</v>
      </c>
      <c r="AE130" s="29" t="str">
        <f t="shared" si="67"/>
        <v/>
      </c>
      <c r="AF130" s="29" t="str">
        <f t="shared" si="68"/>
        <v/>
      </c>
      <c r="AG130" s="27">
        <v>10</v>
      </c>
      <c r="AH130" s="27">
        <v>9</v>
      </c>
      <c r="AI130" s="27">
        <v>0</v>
      </c>
      <c r="AJ130" s="23" t="s">
        <v>151</v>
      </c>
      <c r="AK130" s="23" t="s">
        <v>152</v>
      </c>
      <c r="AL130" s="30">
        <v>3</v>
      </c>
      <c r="AM130" s="30" t="s">
        <v>124</v>
      </c>
      <c r="AN130" s="31" t="str">
        <f t="shared" ref="AN130:AN162" si="89">IF(O130&gt;0, "5 doors", IF(N130&gt;0, "4 doors", IF(M130&gt;0, "3 doors", IF(L130&gt;0, "2 doors", "1 door"))))</f>
        <v>4 doors</v>
      </c>
      <c r="AO130" s="23" t="s">
        <v>85</v>
      </c>
      <c r="AP130" s="23" t="s">
        <v>71</v>
      </c>
      <c r="AQ130" s="23" t="s">
        <v>78</v>
      </c>
      <c r="AR130" s="34">
        <f t="shared" si="69"/>
        <v>5509</v>
      </c>
      <c r="AS130" s="23">
        <v>55</v>
      </c>
      <c r="AT130" s="23">
        <v>9</v>
      </c>
      <c r="AU130" s="23">
        <v>0</v>
      </c>
    </row>
    <row r="131" spans="1:47">
      <c r="A131" s="26" t="s">
        <v>118</v>
      </c>
      <c r="B131" s="23" t="s">
        <v>124</v>
      </c>
      <c r="C131" s="23">
        <v>4</v>
      </c>
      <c r="E131" s="23" t="s">
        <v>61</v>
      </c>
      <c r="F131" s="23" t="s">
        <v>138</v>
      </c>
      <c r="G131" s="27">
        <v>2018</v>
      </c>
      <c r="H131" s="27">
        <v>20</v>
      </c>
      <c r="I131" s="27">
        <v>25</v>
      </c>
      <c r="J131" s="27">
        <v>20</v>
      </c>
      <c r="K131" s="27">
        <v>14</v>
      </c>
      <c r="L131" s="27">
        <v>14</v>
      </c>
      <c r="M131" s="27">
        <v>14</v>
      </c>
      <c r="N131" s="27">
        <v>14</v>
      </c>
      <c r="P131" s="28">
        <f t="shared" si="60"/>
        <v>56</v>
      </c>
      <c r="Q131" s="28">
        <f t="shared" si="61"/>
        <v>33.975999999999999</v>
      </c>
      <c r="R131" s="28">
        <f t="shared" si="62"/>
        <v>31.92</v>
      </c>
      <c r="S131" s="27">
        <v>80</v>
      </c>
      <c r="T131" s="29">
        <f t="shared" si="88"/>
        <v>319.60000000000002</v>
      </c>
      <c r="U131" s="27">
        <v>235</v>
      </c>
      <c r="V131" s="27">
        <v>18</v>
      </c>
      <c r="W131" s="27">
        <v>171</v>
      </c>
      <c r="X131" s="29">
        <f t="shared" si="70"/>
        <v>200</v>
      </c>
      <c r="Y131" s="27" t="s">
        <v>102</v>
      </c>
      <c r="Z131" s="27" t="s">
        <v>102</v>
      </c>
      <c r="AA131" s="29">
        <f t="shared" si="63"/>
        <v>2</v>
      </c>
      <c r="AB131" s="29">
        <f t="shared" si="64"/>
        <v>8</v>
      </c>
      <c r="AC131" s="29">
        <f t="shared" si="65"/>
        <v>1</v>
      </c>
      <c r="AD131" s="29">
        <f t="shared" si="66"/>
        <v>8</v>
      </c>
      <c r="AE131" s="29" t="str">
        <f t="shared" si="67"/>
        <v/>
      </c>
      <c r="AF131" s="29" t="str">
        <f t="shared" si="68"/>
        <v/>
      </c>
      <c r="AG131" s="27">
        <v>10</v>
      </c>
      <c r="AH131" s="27">
        <v>9</v>
      </c>
      <c r="AI131" s="27">
        <v>0</v>
      </c>
      <c r="AJ131" s="23" t="s">
        <v>151</v>
      </c>
      <c r="AK131" s="23" t="s">
        <v>152</v>
      </c>
      <c r="AL131" s="30">
        <v>3</v>
      </c>
      <c r="AM131" s="30" t="s">
        <v>124</v>
      </c>
      <c r="AN131" s="31" t="str">
        <f t="shared" si="89"/>
        <v>4 doors</v>
      </c>
      <c r="AO131" s="23" t="s">
        <v>85</v>
      </c>
      <c r="AP131" s="23" t="s">
        <v>71</v>
      </c>
      <c r="AQ131" s="23" t="s">
        <v>78</v>
      </c>
      <c r="AR131" s="34">
        <f t="shared" si="69"/>
        <v>5509.01</v>
      </c>
      <c r="AS131" s="23">
        <v>55</v>
      </c>
      <c r="AT131" s="23">
        <v>9</v>
      </c>
      <c r="AU131" s="23">
        <v>1</v>
      </c>
    </row>
    <row r="132" spans="1:47">
      <c r="A132" s="26" t="s">
        <v>118</v>
      </c>
      <c r="B132" s="23" t="s">
        <v>125</v>
      </c>
      <c r="C132" s="23">
        <v>4</v>
      </c>
      <c r="E132" s="23" t="s">
        <v>76</v>
      </c>
      <c r="F132" s="23" t="s">
        <v>139</v>
      </c>
      <c r="G132" s="27">
        <v>2021</v>
      </c>
      <c r="H132" s="27">
        <v>20</v>
      </c>
      <c r="I132" s="27">
        <v>25</v>
      </c>
      <c r="J132" s="27">
        <v>20</v>
      </c>
      <c r="K132" s="27">
        <v>14</v>
      </c>
      <c r="L132" s="27">
        <v>14</v>
      </c>
      <c r="M132" s="27">
        <v>14</v>
      </c>
      <c r="N132" s="27">
        <v>14</v>
      </c>
      <c r="P132" s="28">
        <f t="shared" si="60"/>
        <v>56</v>
      </c>
      <c r="Q132" s="28">
        <f t="shared" si="61"/>
        <v>47.733999999999995</v>
      </c>
      <c r="R132" s="28">
        <f t="shared" si="62"/>
        <v>23.826000000000001</v>
      </c>
      <c r="S132" s="27">
        <v>80</v>
      </c>
      <c r="T132" s="29">
        <f t="shared" si="88"/>
        <v>363.12</v>
      </c>
      <c r="U132" s="27">
        <v>267</v>
      </c>
      <c r="V132" s="27">
        <v>22</v>
      </c>
      <c r="W132" s="27">
        <v>171</v>
      </c>
      <c r="X132" s="29">
        <f t="shared" si="70"/>
        <v>200</v>
      </c>
      <c r="Y132" s="27" t="s">
        <v>69</v>
      </c>
      <c r="Z132" s="27" t="s">
        <v>315</v>
      </c>
      <c r="AA132" s="29">
        <f t="shared" si="63"/>
        <v>2</v>
      </c>
      <c r="AB132" s="29">
        <f t="shared" si="64"/>
        <v>8</v>
      </c>
      <c r="AC132" s="29">
        <f t="shared" si="65"/>
        <v>1</v>
      </c>
      <c r="AD132" s="29">
        <f t="shared" si="66"/>
        <v>8</v>
      </c>
      <c r="AE132" s="29" t="str">
        <f t="shared" si="67"/>
        <v/>
      </c>
      <c r="AF132" s="29" t="str">
        <f t="shared" si="68"/>
        <v/>
      </c>
      <c r="AG132" s="27">
        <v>10</v>
      </c>
      <c r="AH132" s="27">
        <v>9</v>
      </c>
      <c r="AI132" s="27">
        <v>0</v>
      </c>
      <c r="AJ132" s="23" t="s">
        <v>151</v>
      </c>
      <c r="AK132" s="23" t="s">
        <v>152</v>
      </c>
      <c r="AL132" s="30">
        <v>3</v>
      </c>
      <c r="AM132" s="30" t="s">
        <v>125</v>
      </c>
      <c r="AN132" s="31" t="str">
        <f t="shared" si="89"/>
        <v>4 doors</v>
      </c>
      <c r="AO132" s="23" t="s">
        <v>85</v>
      </c>
      <c r="AP132" s="23" t="s">
        <v>71</v>
      </c>
      <c r="AQ132" s="23" t="s">
        <v>78</v>
      </c>
      <c r="AR132" s="34">
        <f t="shared" si="69"/>
        <v>5510</v>
      </c>
      <c r="AS132" s="23">
        <v>55</v>
      </c>
      <c r="AT132" s="23">
        <v>10</v>
      </c>
      <c r="AU132" s="23">
        <v>0</v>
      </c>
    </row>
    <row r="133" spans="1:47">
      <c r="A133" s="26" t="s">
        <v>118</v>
      </c>
      <c r="B133" s="23" t="s">
        <v>125</v>
      </c>
      <c r="C133" s="23">
        <v>4</v>
      </c>
      <c r="E133" s="23" t="s">
        <v>76</v>
      </c>
      <c r="F133" s="23" t="s">
        <v>139</v>
      </c>
      <c r="G133" s="27">
        <v>2021</v>
      </c>
      <c r="H133" s="27">
        <v>20</v>
      </c>
      <c r="I133" s="27">
        <v>25</v>
      </c>
      <c r="J133" s="27">
        <v>20</v>
      </c>
      <c r="K133" s="27">
        <v>14</v>
      </c>
      <c r="L133" s="27">
        <v>14</v>
      </c>
      <c r="M133" s="27">
        <v>14</v>
      </c>
      <c r="N133" s="27">
        <v>14</v>
      </c>
      <c r="P133" s="28">
        <f t="shared" si="60"/>
        <v>56</v>
      </c>
      <c r="Q133" s="28">
        <f t="shared" si="61"/>
        <v>47.733999999999995</v>
      </c>
      <c r="R133" s="28">
        <f t="shared" si="62"/>
        <v>23.826000000000001</v>
      </c>
      <c r="S133" s="27">
        <v>80</v>
      </c>
      <c r="T133" s="29">
        <f t="shared" si="88"/>
        <v>363.12</v>
      </c>
      <c r="U133" s="27">
        <v>267</v>
      </c>
      <c r="V133" s="27">
        <v>22</v>
      </c>
      <c r="W133" s="27">
        <v>171</v>
      </c>
      <c r="X133" s="29">
        <f t="shared" si="70"/>
        <v>200</v>
      </c>
      <c r="Y133" s="27" t="s">
        <v>102</v>
      </c>
      <c r="Z133" s="27" t="s">
        <v>102</v>
      </c>
      <c r="AA133" s="29">
        <f t="shared" si="63"/>
        <v>2</v>
      </c>
      <c r="AB133" s="29">
        <f t="shared" si="64"/>
        <v>8</v>
      </c>
      <c r="AC133" s="29">
        <f t="shared" si="65"/>
        <v>1</v>
      </c>
      <c r="AD133" s="29">
        <f t="shared" si="66"/>
        <v>8</v>
      </c>
      <c r="AE133" s="29" t="str">
        <f t="shared" si="67"/>
        <v/>
      </c>
      <c r="AF133" s="29" t="str">
        <f t="shared" si="68"/>
        <v/>
      </c>
      <c r="AG133" s="27">
        <v>10</v>
      </c>
      <c r="AH133" s="27">
        <v>9</v>
      </c>
      <c r="AI133" s="27">
        <v>0</v>
      </c>
      <c r="AJ133" s="23" t="s">
        <v>151</v>
      </c>
      <c r="AK133" s="23" t="s">
        <v>152</v>
      </c>
      <c r="AL133" s="30">
        <v>3</v>
      </c>
      <c r="AM133" s="30" t="s">
        <v>125</v>
      </c>
      <c r="AN133" s="31" t="str">
        <f t="shared" si="89"/>
        <v>4 doors</v>
      </c>
      <c r="AO133" s="23" t="s">
        <v>85</v>
      </c>
      <c r="AP133" s="23" t="s">
        <v>71</v>
      </c>
      <c r="AQ133" s="23" t="s">
        <v>78</v>
      </c>
      <c r="AR133" s="34">
        <f t="shared" si="69"/>
        <v>5510.01</v>
      </c>
      <c r="AS133" s="23">
        <v>55</v>
      </c>
      <c r="AT133" s="23">
        <v>10</v>
      </c>
      <c r="AU133" s="23">
        <v>1</v>
      </c>
    </row>
    <row r="134" spans="1:47">
      <c r="A134" s="26" t="s">
        <v>118</v>
      </c>
      <c r="B134" s="23" t="s">
        <v>123</v>
      </c>
      <c r="C134" s="23">
        <v>3</v>
      </c>
      <c r="E134" s="23" t="s">
        <v>60</v>
      </c>
      <c r="F134" s="23" t="s">
        <v>140</v>
      </c>
      <c r="G134" s="27">
        <v>2017</v>
      </c>
      <c r="H134" s="27">
        <v>20</v>
      </c>
      <c r="I134" s="27">
        <v>25</v>
      </c>
      <c r="J134" s="27">
        <v>20</v>
      </c>
      <c r="K134" s="27">
        <v>14</v>
      </c>
      <c r="L134" s="27">
        <v>14</v>
      </c>
      <c r="M134" s="27">
        <v>14</v>
      </c>
      <c r="P134" s="28">
        <f t="shared" si="60"/>
        <v>42</v>
      </c>
      <c r="Q134" s="28">
        <f t="shared" si="61"/>
        <v>29.520000000000003</v>
      </c>
      <c r="R134" s="28">
        <f t="shared" si="62"/>
        <v>41.88</v>
      </c>
      <c r="S134" s="27">
        <v>80</v>
      </c>
      <c r="T134" s="29">
        <f t="shared" si="88"/>
        <v>360.40000000000003</v>
      </c>
      <c r="U134" s="27">
        <v>265</v>
      </c>
      <c r="V134" s="27">
        <v>17</v>
      </c>
      <c r="W134" s="27">
        <v>171</v>
      </c>
      <c r="X134" s="29">
        <f t="shared" si="70"/>
        <v>200</v>
      </c>
      <c r="Y134" s="27" t="s">
        <v>69</v>
      </c>
      <c r="Z134" s="27" t="s">
        <v>315</v>
      </c>
      <c r="AA134" s="29">
        <f t="shared" si="63"/>
        <v>2</v>
      </c>
      <c r="AB134" s="29">
        <f t="shared" si="64"/>
        <v>8</v>
      </c>
      <c r="AC134" s="29">
        <f t="shared" si="65"/>
        <v>1</v>
      </c>
      <c r="AD134" s="29">
        <f t="shared" si="66"/>
        <v>8</v>
      </c>
      <c r="AE134" s="29" t="str">
        <f t="shared" si="67"/>
        <v/>
      </c>
      <c r="AF134" s="29" t="str">
        <f t="shared" si="68"/>
        <v/>
      </c>
      <c r="AG134" s="27">
        <v>10</v>
      </c>
      <c r="AH134" s="27">
        <v>9</v>
      </c>
      <c r="AI134" s="27">
        <v>0</v>
      </c>
      <c r="AJ134" s="23" t="s">
        <v>151</v>
      </c>
      <c r="AK134" s="23" t="s">
        <v>152</v>
      </c>
      <c r="AL134" s="30">
        <v>3</v>
      </c>
      <c r="AM134" s="30" t="s">
        <v>123</v>
      </c>
      <c r="AN134" s="31" t="str">
        <f t="shared" si="89"/>
        <v>3 doors</v>
      </c>
      <c r="AO134" s="23" t="s">
        <v>85</v>
      </c>
      <c r="AP134" s="23" t="s">
        <v>71</v>
      </c>
      <c r="AQ134" s="23" t="s">
        <v>78</v>
      </c>
      <c r="AR134" s="34">
        <f t="shared" si="69"/>
        <v>5511</v>
      </c>
      <c r="AS134" s="23">
        <v>55</v>
      </c>
      <c r="AT134" s="23">
        <v>11</v>
      </c>
      <c r="AU134" s="23">
        <v>0</v>
      </c>
    </row>
    <row r="135" spans="1:47">
      <c r="A135" s="26" t="s">
        <v>118</v>
      </c>
      <c r="B135" s="23" t="s">
        <v>123</v>
      </c>
      <c r="C135" s="23">
        <v>3</v>
      </c>
      <c r="E135" s="23" t="s">
        <v>60</v>
      </c>
      <c r="F135" s="23" t="s">
        <v>140</v>
      </c>
      <c r="G135" s="27">
        <v>2017</v>
      </c>
      <c r="H135" s="27">
        <v>20</v>
      </c>
      <c r="I135" s="27">
        <v>25</v>
      </c>
      <c r="J135" s="27">
        <v>20</v>
      </c>
      <c r="K135" s="27">
        <v>14</v>
      </c>
      <c r="L135" s="27">
        <v>14</v>
      </c>
      <c r="M135" s="27">
        <v>14</v>
      </c>
      <c r="P135" s="28">
        <f t="shared" si="60"/>
        <v>42</v>
      </c>
      <c r="Q135" s="28">
        <f t="shared" si="61"/>
        <v>29.520000000000003</v>
      </c>
      <c r="R135" s="28">
        <f t="shared" si="62"/>
        <v>41.88</v>
      </c>
      <c r="S135" s="27">
        <v>80</v>
      </c>
      <c r="T135" s="29">
        <f t="shared" si="88"/>
        <v>360.40000000000003</v>
      </c>
      <c r="U135" s="27">
        <v>265</v>
      </c>
      <c r="V135" s="27">
        <v>17</v>
      </c>
      <c r="W135" s="27">
        <v>171</v>
      </c>
      <c r="X135" s="29">
        <f t="shared" si="70"/>
        <v>200</v>
      </c>
      <c r="Y135" s="27" t="s">
        <v>102</v>
      </c>
      <c r="Z135" s="27" t="s">
        <v>102</v>
      </c>
      <c r="AA135" s="29">
        <f t="shared" si="63"/>
        <v>2</v>
      </c>
      <c r="AB135" s="29">
        <f t="shared" si="64"/>
        <v>8</v>
      </c>
      <c r="AC135" s="29">
        <f t="shared" si="65"/>
        <v>1</v>
      </c>
      <c r="AD135" s="29">
        <f t="shared" si="66"/>
        <v>8</v>
      </c>
      <c r="AE135" s="29" t="str">
        <f t="shared" si="67"/>
        <v/>
      </c>
      <c r="AF135" s="29" t="str">
        <f t="shared" si="68"/>
        <v/>
      </c>
      <c r="AG135" s="27">
        <v>10</v>
      </c>
      <c r="AH135" s="27">
        <v>9</v>
      </c>
      <c r="AI135" s="27">
        <v>0</v>
      </c>
      <c r="AJ135" s="23" t="s">
        <v>151</v>
      </c>
      <c r="AK135" s="23" t="s">
        <v>152</v>
      </c>
      <c r="AL135" s="30">
        <v>3</v>
      </c>
      <c r="AM135" s="30" t="s">
        <v>123</v>
      </c>
      <c r="AN135" s="31" t="str">
        <f t="shared" si="89"/>
        <v>3 doors</v>
      </c>
      <c r="AO135" s="23" t="s">
        <v>85</v>
      </c>
      <c r="AP135" s="23" t="s">
        <v>71</v>
      </c>
      <c r="AQ135" s="23" t="s">
        <v>78</v>
      </c>
      <c r="AR135" s="34">
        <f t="shared" si="69"/>
        <v>5511.01</v>
      </c>
      <c r="AS135" s="23">
        <v>55</v>
      </c>
      <c r="AT135" s="23">
        <v>11</v>
      </c>
      <c r="AU135" s="23">
        <v>1</v>
      </c>
    </row>
    <row r="136" spans="1:47">
      <c r="A136" s="26" t="s">
        <v>118</v>
      </c>
      <c r="B136" s="23" t="s">
        <v>124</v>
      </c>
      <c r="C136" s="23">
        <v>3</v>
      </c>
      <c r="E136" s="23" t="s">
        <v>61</v>
      </c>
      <c r="F136" s="23" t="s">
        <v>141</v>
      </c>
      <c r="G136" s="27">
        <v>2018</v>
      </c>
      <c r="H136" s="27">
        <v>20</v>
      </c>
      <c r="I136" s="27">
        <v>25</v>
      </c>
      <c r="J136" s="27">
        <v>20</v>
      </c>
      <c r="K136" s="27">
        <v>14</v>
      </c>
      <c r="L136" s="27">
        <v>14</v>
      </c>
      <c r="M136" s="27">
        <v>14</v>
      </c>
      <c r="P136" s="28">
        <f t="shared" si="60"/>
        <v>42</v>
      </c>
      <c r="Q136" s="28">
        <f t="shared" si="61"/>
        <v>32.975999999999999</v>
      </c>
      <c r="R136" s="28">
        <f t="shared" si="62"/>
        <v>30.92</v>
      </c>
      <c r="S136" s="27">
        <v>80</v>
      </c>
      <c r="T136" s="29">
        <f t="shared" si="88"/>
        <v>319.60000000000002</v>
      </c>
      <c r="U136" s="27">
        <v>235</v>
      </c>
      <c r="V136" s="27">
        <v>18</v>
      </c>
      <c r="W136" s="27">
        <v>171</v>
      </c>
      <c r="X136" s="29">
        <f t="shared" si="70"/>
        <v>200</v>
      </c>
      <c r="Y136" s="27" t="s">
        <v>69</v>
      </c>
      <c r="Z136" s="27" t="s">
        <v>315</v>
      </c>
      <c r="AA136" s="29">
        <f t="shared" si="63"/>
        <v>2</v>
      </c>
      <c r="AB136" s="29">
        <f t="shared" si="64"/>
        <v>8</v>
      </c>
      <c r="AC136" s="29">
        <f t="shared" si="65"/>
        <v>1</v>
      </c>
      <c r="AD136" s="29">
        <f t="shared" si="66"/>
        <v>8</v>
      </c>
      <c r="AE136" s="29" t="str">
        <f t="shared" si="67"/>
        <v/>
      </c>
      <c r="AF136" s="29" t="str">
        <f t="shared" si="68"/>
        <v/>
      </c>
      <c r="AG136" s="27">
        <v>10</v>
      </c>
      <c r="AH136" s="27">
        <v>9</v>
      </c>
      <c r="AI136" s="27">
        <v>0</v>
      </c>
      <c r="AJ136" s="23" t="s">
        <v>151</v>
      </c>
      <c r="AK136" s="23" t="s">
        <v>152</v>
      </c>
      <c r="AL136" s="30">
        <v>3</v>
      </c>
      <c r="AM136" s="30" t="s">
        <v>124</v>
      </c>
      <c r="AN136" s="31" t="str">
        <f t="shared" si="89"/>
        <v>3 doors</v>
      </c>
      <c r="AO136" s="23" t="s">
        <v>85</v>
      </c>
      <c r="AP136" s="23" t="s">
        <v>71</v>
      </c>
      <c r="AQ136" s="23" t="s">
        <v>78</v>
      </c>
      <c r="AR136" s="34">
        <f t="shared" si="69"/>
        <v>5512</v>
      </c>
      <c r="AS136" s="23">
        <v>55</v>
      </c>
      <c r="AT136" s="23">
        <v>12</v>
      </c>
      <c r="AU136" s="23">
        <v>0</v>
      </c>
    </row>
    <row r="137" spans="1:47">
      <c r="A137" s="26" t="s">
        <v>118</v>
      </c>
      <c r="B137" s="23" t="s">
        <v>124</v>
      </c>
      <c r="C137" s="23">
        <v>3</v>
      </c>
      <c r="E137" s="23" t="s">
        <v>61</v>
      </c>
      <c r="F137" s="23" t="s">
        <v>141</v>
      </c>
      <c r="G137" s="27">
        <v>2018</v>
      </c>
      <c r="H137" s="27">
        <v>20</v>
      </c>
      <c r="I137" s="27">
        <v>25</v>
      </c>
      <c r="J137" s="27">
        <v>20</v>
      </c>
      <c r="K137" s="27">
        <v>14</v>
      </c>
      <c r="L137" s="27">
        <v>14</v>
      </c>
      <c r="M137" s="27">
        <v>14</v>
      </c>
      <c r="P137" s="28">
        <f t="shared" si="60"/>
        <v>42</v>
      </c>
      <c r="Q137" s="28">
        <f t="shared" si="61"/>
        <v>32.975999999999999</v>
      </c>
      <c r="R137" s="28">
        <f t="shared" si="62"/>
        <v>30.92</v>
      </c>
      <c r="S137" s="27">
        <v>80</v>
      </c>
      <c r="T137" s="29">
        <f t="shared" si="88"/>
        <v>319.60000000000002</v>
      </c>
      <c r="U137" s="27">
        <v>235</v>
      </c>
      <c r="V137" s="27">
        <v>18</v>
      </c>
      <c r="W137" s="27">
        <v>171</v>
      </c>
      <c r="X137" s="29">
        <f t="shared" si="70"/>
        <v>200</v>
      </c>
      <c r="Y137" s="27" t="s">
        <v>102</v>
      </c>
      <c r="Z137" s="27" t="s">
        <v>102</v>
      </c>
      <c r="AA137" s="29">
        <f t="shared" si="63"/>
        <v>2</v>
      </c>
      <c r="AB137" s="29">
        <f t="shared" si="64"/>
        <v>8</v>
      </c>
      <c r="AC137" s="29">
        <f t="shared" si="65"/>
        <v>1</v>
      </c>
      <c r="AD137" s="29">
        <f t="shared" si="66"/>
        <v>8</v>
      </c>
      <c r="AE137" s="29" t="str">
        <f t="shared" si="67"/>
        <v/>
      </c>
      <c r="AF137" s="29" t="str">
        <f t="shared" si="68"/>
        <v/>
      </c>
      <c r="AG137" s="27">
        <v>10</v>
      </c>
      <c r="AH137" s="27">
        <v>9</v>
      </c>
      <c r="AI137" s="27">
        <v>0</v>
      </c>
      <c r="AJ137" s="23" t="s">
        <v>151</v>
      </c>
      <c r="AK137" s="23" t="s">
        <v>152</v>
      </c>
      <c r="AL137" s="30">
        <v>3</v>
      </c>
      <c r="AM137" s="30" t="s">
        <v>124</v>
      </c>
      <c r="AN137" s="31" t="str">
        <f t="shared" si="89"/>
        <v>3 doors</v>
      </c>
      <c r="AO137" s="23" t="s">
        <v>85</v>
      </c>
      <c r="AP137" s="23" t="s">
        <v>71</v>
      </c>
      <c r="AQ137" s="23" t="s">
        <v>78</v>
      </c>
      <c r="AR137" s="34">
        <f t="shared" si="69"/>
        <v>5512.01</v>
      </c>
      <c r="AS137" s="23">
        <v>55</v>
      </c>
      <c r="AT137" s="23">
        <v>12</v>
      </c>
      <c r="AU137" s="23">
        <v>1</v>
      </c>
    </row>
    <row r="138" spans="1:47">
      <c r="A138" s="26" t="s">
        <v>118</v>
      </c>
      <c r="B138" s="23" t="s">
        <v>125</v>
      </c>
      <c r="C138" s="23">
        <v>3</v>
      </c>
      <c r="E138" s="23" t="s">
        <v>76</v>
      </c>
      <c r="F138" s="23" t="s">
        <v>142</v>
      </c>
      <c r="G138" s="27">
        <v>2021</v>
      </c>
      <c r="H138" s="27">
        <v>20</v>
      </c>
      <c r="I138" s="27">
        <v>25</v>
      </c>
      <c r="J138" s="27">
        <v>20</v>
      </c>
      <c r="K138" s="27">
        <v>14</v>
      </c>
      <c r="L138" s="27">
        <v>14</v>
      </c>
      <c r="M138" s="27">
        <v>14</v>
      </c>
      <c r="P138" s="28">
        <f t="shared" si="60"/>
        <v>42</v>
      </c>
      <c r="Q138" s="28">
        <f t="shared" si="61"/>
        <v>46.733999999999995</v>
      </c>
      <c r="R138" s="28">
        <f t="shared" si="62"/>
        <v>22.826000000000001</v>
      </c>
      <c r="S138" s="27">
        <v>80</v>
      </c>
      <c r="T138" s="29">
        <f t="shared" si="88"/>
        <v>363.12</v>
      </c>
      <c r="U138" s="27">
        <v>267</v>
      </c>
      <c r="V138" s="27">
        <v>22</v>
      </c>
      <c r="W138" s="27">
        <v>171</v>
      </c>
      <c r="X138" s="29">
        <f t="shared" si="70"/>
        <v>200</v>
      </c>
      <c r="Y138" s="27" t="s">
        <v>69</v>
      </c>
      <c r="Z138" s="27" t="s">
        <v>315</v>
      </c>
      <c r="AA138" s="29">
        <f t="shared" si="63"/>
        <v>2</v>
      </c>
      <c r="AB138" s="29">
        <f t="shared" si="64"/>
        <v>8</v>
      </c>
      <c r="AC138" s="29">
        <f t="shared" si="65"/>
        <v>1</v>
      </c>
      <c r="AD138" s="29">
        <f t="shared" si="66"/>
        <v>8</v>
      </c>
      <c r="AE138" s="29" t="str">
        <f t="shared" si="67"/>
        <v/>
      </c>
      <c r="AF138" s="29" t="str">
        <f t="shared" si="68"/>
        <v/>
      </c>
      <c r="AG138" s="27">
        <v>10</v>
      </c>
      <c r="AH138" s="27">
        <v>9</v>
      </c>
      <c r="AI138" s="27">
        <v>0</v>
      </c>
      <c r="AJ138" s="23" t="s">
        <v>151</v>
      </c>
      <c r="AK138" s="23" t="s">
        <v>152</v>
      </c>
      <c r="AL138" s="30">
        <v>3</v>
      </c>
      <c r="AM138" s="30" t="s">
        <v>125</v>
      </c>
      <c r="AN138" s="31" t="str">
        <f t="shared" si="89"/>
        <v>3 doors</v>
      </c>
      <c r="AO138" s="23" t="s">
        <v>85</v>
      </c>
      <c r="AP138" s="23" t="s">
        <v>71</v>
      </c>
      <c r="AQ138" s="23" t="s">
        <v>78</v>
      </c>
      <c r="AR138" s="34">
        <f t="shared" si="69"/>
        <v>5513</v>
      </c>
      <c r="AS138" s="23">
        <v>55</v>
      </c>
      <c r="AT138" s="23">
        <v>13</v>
      </c>
      <c r="AU138" s="23">
        <v>0</v>
      </c>
    </row>
    <row r="139" spans="1:47">
      <c r="A139" s="26" t="s">
        <v>118</v>
      </c>
      <c r="B139" s="23" t="s">
        <v>125</v>
      </c>
      <c r="C139" s="23">
        <v>3</v>
      </c>
      <c r="E139" s="23" t="s">
        <v>76</v>
      </c>
      <c r="F139" s="23" t="s">
        <v>142</v>
      </c>
      <c r="G139" s="27">
        <v>2021</v>
      </c>
      <c r="H139" s="27">
        <v>20</v>
      </c>
      <c r="I139" s="27">
        <v>25</v>
      </c>
      <c r="J139" s="27">
        <v>20</v>
      </c>
      <c r="K139" s="27">
        <v>14</v>
      </c>
      <c r="L139" s="27">
        <v>14</v>
      </c>
      <c r="M139" s="27">
        <v>14</v>
      </c>
      <c r="P139" s="28">
        <f t="shared" si="60"/>
        <v>42</v>
      </c>
      <c r="Q139" s="28">
        <f t="shared" si="61"/>
        <v>46.733999999999995</v>
      </c>
      <c r="R139" s="28">
        <f t="shared" si="62"/>
        <v>22.826000000000001</v>
      </c>
      <c r="S139" s="27">
        <v>80</v>
      </c>
      <c r="T139" s="29">
        <f t="shared" si="88"/>
        <v>363.12</v>
      </c>
      <c r="U139" s="27">
        <v>267</v>
      </c>
      <c r="V139" s="27">
        <v>22</v>
      </c>
      <c r="W139" s="27">
        <v>171</v>
      </c>
      <c r="X139" s="29">
        <f t="shared" si="70"/>
        <v>200</v>
      </c>
      <c r="Y139" s="27" t="s">
        <v>102</v>
      </c>
      <c r="Z139" s="27" t="s">
        <v>102</v>
      </c>
      <c r="AA139" s="29">
        <f t="shared" si="63"/>
        <v>2</v>
      </c>
      <c r="AB139" s="29">
        <f t="shared" si="64"/>
        <v>8</v>
      </c>
      <c r="AC139" s="29">
        <f t="shared" si="65"/>
        <v>1</v>
      </c>
      <c r="AD139" s="29">
        <f t="shared" si="66"/>
        <v>8</v>
      </c>
      <c r="AE139" s="29" t="str">
        <f t="shared" si="67"/>
        <v/>
      </c>
      <c r="AF139" s="29" t="str">
        <f t="shared" si="68"/>
        <v/>
      </c>
      <c r="AG139" s="27">
        <v>10</v>
      </c>
      <c r="AH139" s="27">
        <v>9</v>
      </c>
      <c r="AI139" s="27">
        <v>0</v>
      </c>
      <c r="AJ139" s="23" t="s">
        <v>151</v>
      </c>
      <c r="AK139" s="23" t="s">
        <v>152</v>
      </c>
      <c r="AL139" s="30">
        <v>3</v>
      </c>
      <c r="AM139" s="30" t="s">
        <v>125</v>
      </c>
      <c r="AN139" s="31" t="str">
        <f t="shared" si="89"/>
        <v>3 doors</v>
      </c>
      <c r="AO139" s="23" t="s">
        <v>85</v>
      </c>
      <c r="AP139" s="23" t="s">
        <v>71</v>
      </c>
      <c r="AQ139" s="23" t="s">
        <v>78</v>
      </c>
      <c r="AR139" s="34">
        <f t="shared" si="69"/>
        <v>5513.01</v>
      </c>
      <c r="AS139" s="23">
        <v>55</v>
      </c>
      <c r="AT139" s="23">
        <v>13</v>
      </c>
      <c r="AU139" s="23">
        <v>1</v>
      </c>
    </row>
    <row r="140" spans="1:47">
      <c r="A140" s="26" t="s">
        <v>150</v>
      </c>
      <c r="B140" s="23" t="s">
        <v>127</v>
      </c>
      <c r="C140" s="23">
        <v>3</v>
      </c>
      <c r="E140" s="23" t="s">
        <v>60</v>
      </c>
      <c r="F140" s="23" t="s">
        <v>143</v>
      </c>
      <c r="G140" s="27">
        <v>2023</v>
      </c>
      <c r="H140" s="27">
        <v>20</v>
      </c>
      <c r="I140" s="27">
        <v>25</v>
      </c>
      <c r="J140" s="27">
        <v>20</v>
      </c>
      <c r="K140" s="27">
        <v>14</v>
      </c>
      <c r="L140" s="27">
        <v>14</v>
      </c>
      <c r="M140" s="27">
        <v>7</v>
      </c>
      <c r="P140" s="28">
        <f t="shared" ref="P140:P204" si="90">SUM(K140:O140)</f>
        <v>35</v>
      </c>
      <c r="Q140" s="28">
        <f t="shared" ref="Q140:Q204" si="91">IF(OR(E140="diesel", E140="petrol"), ((V140+(T140/10))/2)+(P140/14), IF(OR(E140="cng", E140="hybrid"), ((V140+(T140/10))/2*1.2)+(P140/14), IF(OR(E140="hydrogen", E140="electric"), ((V140+(T140/10))/2*1.5)+(P140/14), 0)))</f>
        <v>26.020000000000003</v>
      </c>
      <c r="R140" s="28">
        <f t="shared" ref="R140:R204" si="92">IF(E140="petrol", ((V140+(W140/15)+T140)/10*1.5)+(P140/14), IF(E140="diesel", ((V140+(W140/15)+T140)/10)+(P140/14), IF(OR(E140="cng", E140="hybrid"), ((V140+(W140/15)+T140)/10*0.8)+(P140/14), IF(OR(E140="hydrogen", E140="electric"), ((V140+(W140/15)+T140)/10*0.5)+(P140/14), 0))))</f>
        <v>40.293333333333337</v>
      </c>
      <c r="S140" s="27">
        <v>120</v>
      </c>
      <c r="T140" s="29">
        <f t="shared" si="88"/>
        <v>360.40000000000003</v>
      </c>
      <c r="U140" s="27">
        <v>265</v>
      </c>
      <c r="V140" s="27">
        <v>11</v>
      </c>
      <c r="W140" s="27">
        <v>98</v>
      </c>
      <c r="X140" s="29">
        <f t="shared" si="70"/>
        <v>200</v>
      </c>
      <c r="Y140" s="27" t="s">
        <v>69</v>
      </c>
      <c r="Z140" s="27" t="s">
        <v>69</v>
      </c>
      <c r="AA140" s="29">
        <f t="shared" ref="AA140:AA204" si="93">IF(AG140&gt;8, AG140-8, AG140)</f>
        <v>5</v>
      </c>
      <c r="AB140" s="29">
        <f t="shared" ref="AB140:AB204" si="94">IF(AG140&gt;8, 8, "")</f>
        <v>8</v>
      </c>
      <c r="AC140" s="29" t="str">
        <f t="shared" ref="AC140:AC204" si="95">IF(AH140&gt;8, AH140-8, IF(AH140=0, "", AH140))</f>
        <v/>
      </c>
      <c r="AD140" s="29" t="str">
        <f t="shared" ref="AD140:AD204" si="96">IF(AH140&gt;8, 8, "")</f>
        <v/>
      </c>
      <c r="AE140" s="29" t="str">
        <f t="shared" ref="AE140:AE204" si="97">IF(AI140&gt;8, AI140-8, IF(AI140=0, "", AI140))</f>
        <v/>
      </c>
      <c r="AF140" s="29" t="str">
        <f t="shared" ref="AF140:AF204" si="98">IF(AI140&gt;8, 8, "")</f>
        <v/>
      </c>
      <c r="AG140" s="27">
        <v>13</v>
      </c>
      <c r="AH140" s="27">
        <v>0</v>
      </c>
      <c r="AI140" s="27">
        <v>0</v>
      </c>
      <c r="AJ140" s="23" t="s">
        <v>153</v>
      </c>
      <c r="AK140" s="23" t="s">
        <v>154</v>
      </c>
      <c r="AL140" s="30">
        <v>3</v>
      </c>
      <c r="AM140" s="30" t="s">
        <v>156</v>
      </c>
      <c r="AN140" s="31" t="str">
        <f t="shared" si="89"/>
        <v>3 doors</v>
      </c>
      <c r="AO140" s="23" t="s">
        <v>66</v>
      </c>
      <c r="AP140" s="23" t="s">
        <v>72</v>
      </c>
      <c r="AQ140" s="23" t="s">
        <v>78</v>
      </c>
      <c r="AR140" s="34">
        <f t="shared" ref="AR140:AR204" si="99">(AS140*100)+AT140+(AU140/100)</f>
        <v>5620</v>
      </c>
      <c r="AS140" s="23">
        <v>56</v>
      </c>
      <c r="AT140" s="23">
        <v>20</v>
      </c>
      <c r="AU140" s="23">
        <v>0</v>
      </c>
    </row>
    <row r="141" spans="1:47">
      <c r="A141" s="26" t="s">
        <v>150</v>
      </c>
      <c r="B141" s="23" t="s">
        <v>127</v>
      </c>
      <c r="C141" s="23">
        <v>2</v>
      </c>
      <c r="E141" s="23" t="s">
        <v>60</v>
      </c>
      <c r="F141" s="23" t="s">
        <v>424</v>
      </c>
      <c r="G141" s="27">
        <v>2023</v>
      </c>
      <c r="H141" s="27">
        <v>20</v>
      </c>
      <c r="I141" s="27">
        <v>25</v>
      </c>
      <c r="J141" s="27">
        <v>20</v>
      </c>
      <c r="K141" s="27">
        <v>14</v>
      </c>
      <c r="L141" s="27">
        <v>14</v>
      </c>
      <c r="P141" s="28">
        <f t="shared" ref="P141" si="100">SUM(K141:O141)</f>
        <v>28</v>
      </c>
      <c r="Q141" s="28">
        <f t="shared" ref="Q141" si="101">IF(OR(E141="diesel", E141="petrol"), ((V141+(T141/10))/2)+(P141/14), IF(OR(E141="cng", E141="hybrid"), ((V141+(T141/10))/2*1.2)+(P141/14), IF(OR(E141="hydrogen", E141="electric"), ((V141+(T141/10))/2*1.5)+(P141/14), 0)))</f>
        <v>25.520000000000003</v>
      </c>
      <c r="R141" s="28">
        <f t="shared" ref="R141" si="102">IF(E141="petrol", ((V141+(W141/15)+T141)/10*1.5)+(P141/14), IF(E141="diesel", ((V141+(W141/15)+T141)/10)+(P141/14), IF(OR(E141="cng", E141="hybrid"), ((V141+(W141/15)+T141)/10*0.8)+(P141/14), IF(OR(E141="hydrogen", E141="electric"), ((V141+(W141/15)+T141)/10*0.5)+(P141/14), 0))))</f>
        <v>39.793333333333337</v>
      </c>
      <c r="S141" s="27">
        <v>120</v>
      </c>
      <c r="T141" s="29">
        <f t="shared" ref="T141" si="103">U141*1.36</f>
        <v>360.40000000000003</v>
      </c>
      <c r="U141" s="27">
        <v>265</v>
      </c>
      <c r="V141" s="27">
        <v>11</v>
      </c>
      <c r="W141" s="27">
        <v>98</v>
      </c>
      <c r="X141" s="29">
        <f t="shared" ref="X141" si="104">IF(AP141="Regional", 185, IF(AP141="Intercity", 150, IF(AP141="Tourist", 100, 200)))</f>
        <v>200</v>
      </c>
      <c r="Y141" s="27" t="s">
        <v>69</v>
      </c>
      <c r="Z141" s="27" t="s">
        <v>69</v>
      </c>
      <c r="AA141" s="29">
        <f t="shared" ref="AA141" si="105">IF(AG141&gt;8, AG141-8, AG141)</f>
        <v>5</v>
      </c>
      <c r="AB141" s="29">
        <f t="shared" ref="AB141" si="106">IF(AG141&gt;8, 8, "")</f>
        <v>8</v>
      </c>
      <c r="AC141" s="29" t="str">
        <f t="shared" ref="AC141" si="107">IF(AH141&gt;8, AH141-8, IF(AH141=0, "", AH141))</f>
        <v/>
      </c>
      <c r="AD141" s="29" t="str">
        <f t="shared" ref="AD141" si="108">IF(AH141&gt;8, 8, "")</f>
        <v/>
      </c>
      <c r="AE141" s="29" t="str">
        <f t="shared" ref="AE141" si="109">IF(AI141&gt;8, AI141-8, IF(AI141=0, "", AI141))</f>
        <v/>
      </c>
      <c r="AF141" s="29" t="str">
        <f t="shared" ref="AF141" si="110">IF(AI141&gt;8, 8, "")</f>
        <v/>
      </c>
      <c r="AG141" s="27">
        <v>13</v>
      </c>
      <c r="AH141" s="27">
        <v>0</v>
      </c>
      <c r="AI141" s="27">
        <v>0</v>
      </c>
      <c r="AJ141" s="23" t="s">
        <v>153</v>
      </c>
      <c r="AK141" s="23" t="s">
        <v>154</v>
      </c>
      <c r="AL141" s="30">
        <v>3</v>
      </c>
      <c r="AM141" s="30" t="s">
        <v>156</v>
      </c>
      <c r="AN141" s="31" t="str">
        <f t="shared" ref="AN141" si="111">IF(O141&gt;0, "5 doors", IF(N141&gt;0, "4 doors", IF(M141&gt;0, "3 doors", IF(L141&gt;0, "2 doors", "1 door"))))</f>
        <v>2 doors</v>
      </c>
      <c r="AO141" s="23" t="s">
        <v>66</v>
      </c>
      <c r="AP141" s="23" t="s">
        <v>72</v>
      </c>
      <c r="AQ141" s="23" t="s">
        <v>78</v>
      </c>
      <c r="AR141" s="34">
        <f t="shared" ref="AR141" si="112">(AS141*100)+AT141+(AU141/100)</f>
        <v>5621</v>
      </c>
      <c r="AS141" s="23">
        <v>56</v>
      </c>
      <c r="AT141" s="23">
        <v>21</v>
      </c>
      <c r="AU141" s="23">
        <v>0</v>
      </c>
    </row>
    <row r="142" spans="1:47">
      <c r="A142" s="26" t="s">
        <v>150</v>
      </c>
      <c r="B142" s="23" t="s">
        <v>129</v>
      </c>
      <c r="C142" s="23">
        <v>2</v>
      </c>
      <c r="E142" s="23" t="s">
        <v>60</v>
      </c>
      <c r="F142" s="23" t="s">
        <v>144</v>
      </c>
      <c r="G142" s="27">
        <v>2023</v>
      </c>
      <c r="H142" s="27">
        <v>20</v>
      </c>
      <c r="I142" s="27">
        <v>25</v>
      </c>
      <c r="J142" s="27">
        <v>20</v>
      </c>
      <c r="K142" s="27">
        <v>14</v>
      </c>
      <c r="L142" s="27">
        <v>14</v>
      </c>
      <c r="P142" s="28">
        <f t="shared" si="90"/>
        <v>28</v>
      </c>
      <c r="Q142" s="28">
        <f t="shared" si="91"/>
        <v>26.020000000000003</v>
      </c>
      <c r="R142" s="28">
        <f t="shared" si="92"/>
        <v>39.953333333333333</v>
      </c>
      <c r="S142" s="27">
        <v>120</v>
      </c>
      <c r="T142" s="29">
        <f t="shared" si="88"/>
        <v>360.40000000000003</v>
      </c>
      <c r="U142" s="27">
        <v>265</v>
      </c>
      <c r="V142" s="27">
        <v>12</v>
      </c>
      <c r="W142" s="27">
        <v>107</v>
      </c>
      <c r="X142" s="29">
        <f t="shared" si="70"/>
        <v>200</v>
      </c>
      <c r="Y142" s="27" t="s">
        <v>69</v>
      </c>
      <c r="Z142" s="27" t="s">
        <v>69</v>
      </c>
      <c r="AA142" s="29">
        <f t="shared" si="93"/>
        <v>6</v>
      </c>
      <c r="AB142" s="29">
        <f t="shared" si="94"/>
        <v>8</v>
      </c>
      <c r="AC142" s="29" t="str">
        <f t="shared" si="95"/>
        <v/>
      </c>
      <c r="AD142" s="29" t="str">
        <f t="shared" si="96"/>
        <v/>
      </c>
      <c r="AE142" s="29" t="str">
        <f t="shared" si="97"/>
        <v/>
      </c>
      <c r="AF142" s="29" t="str">
        <f t="shared" si="98"/>
        <v/>
      </c>
      <c r="AG142" s="27">
        <v>14</v>
      </c>
      <c r="AH142" s="27">
        <v>0</v>
      </c>
      <c r="AI142" s="27">
        <v>0</v>
      </c>
      <c r="AJ142" s="23" t="s">
        <v>153</v>
      </c>
      <c r="AK142" s="23" t="s">
        <v>154</v>
      </c>
      <c r="AL142" s="30">
        <v>3</v>
      </c>
      <c r="AM142" s="30" t="s">
        <v>160</v>
      </c>
      <c r="AN142" s="31" t="str">
        <f t="shared" si="89"/>
        <v>2 doors</v>
      </c>
      <c r="AO142" s="23" t="s">
        <v>88</v>
      </c>
      <c r="AP142" s="23" t="s">
        <v>72</v>
      </c>
      <c r="AQ142" s="23" t="s">
        <v>78</v>
      </c>
      <c r="AR142" s="34">
        <f t="shared" si="99"/>
        <v>5622</v>
      </c>
      <c r="AS142" s="23">
        <v>56</v>
      </c>
      <c r="AT142" s="23">
        <v>22</v>
      </c>
      <c r="AU142" s="23">
        <v>0</v>
      </c>
    </row>
    <row r="143" spans="1:47">
      <c r="A143" s="26" t="s">
        <v>150</v>
      </c>
      <c r="B143" s="23" t="s">
        <v>130</v>
      </c>
      <c r="C143" s="23">
        <v>3</v>
      </c>
      <c r="E143" s="23" t="s">
        <v>60</v>
      </c>
      <c r="F143" s="23" t="s">
        <v>145</v>
      </c>
      <c r="G143" s="27">
        <v>2023</v>
      </c>
      <c r="H143" s="27">
        <v>20</v>
      </c>
      <c r="I143" s="27">
        <v>25</v>
      </c>
      <c r="J143" s="27">
        <v>20</v>
      </c>
      <c r="K143" s="27">
        <v>14</v>
      </c>
      <c r="L143" s="27">
        <v>14</v>
      </c>
      <c r="M143" s="27">
        <v>7</v>
      </c>
      <c r="P143" s="28">
        <f t="shared" si="90"/>
        <v>35</v>
      </c>
      <c r="Q143" s="28">
        <f t="shared" si="91"/>
        <v>27.520000000000003</v>
      </c>
      <c r="R143" s="28">
        <f t="shared" si="92"/>
        <v>40.74666666666667</v>
      </c>
      <c r="S143" s="27">
        <v>120</v>
      </c>
      <c r="T143" s="29">
        <f t="shared" si="88"/>
        <v>360.40000000000003</v>
      </c>
      <c r="U143" s="27">
        <v>265</v>
      </c>
      <c r="V143" s="27">
        <v>14</v>
      </c>
      <c r="W143" s="27">
        <v>121</v>
      </c>
      <c r="X143" s="29">
        <f t="shared" si="70"/>
        <v>200</v>
      </c>
      <c r="Y143" s="27" t="s">
        <v>69</v>
      </c>
      <c r="Z143" s="27" t="s">
        <v>69</v>
      </c>
      <c r="AA143" s="29">
        <f t="shared" si="93"/>
        <v>7</v>
      </c>
      <c r="AB143" s="29">
        <f t="shared" si="94"/>
        <v>8</v>
      </c>
      <c r="AC143" s="29" t="str">
        <f t="shared" si="95"/>
        <v/>
      </c>
      <c r="AD143" s="29" t="str">
        <f t="shared" si="96"/>
        <v/>
      </c>
      <c r="AE143" s="29" t="str">
        <f t="shared" si="97"/>
        <v/>
      </c>
      <c r="AF143" s="29" t="str">
        <f t="shared" si="98"/>
        <v/>
      </c>
      <c r="AG143" s="27">
        <v>15</v>
      </c>
      <c r="AH143" s="27">
        <v>0</v>
      </c>
      <c r="AI143" s="27">
        <v>0</v>
      </c>
      <c r="AJ143" s="23" t="s">
        <v>153</v>
      </c>
      <c r="AK143" s="23" t="s">
        <v>154</v>
      </c>
      <c r="AL143" s="30">
        <v>3</v>
      </c>
      <c r="AM143" s="30" t="s">
        <v>161</v>
      </c>
      <c r="AN143" s="31" t="str">
        <f t="shared" si="89"/>
        <v>3 doors</v>
      </c>
      <c r="AO143" s="23" t="s">
        <v>159</v>
      </c>
      <c r="AP143" s="23" t="s">
        <v>72</v>
      </c>
      <c r="AQ143" s="23" t="s">
        <v>78</v>
      </c>
      <c r="AR143" s="34">
        <f t="shared" si="99"/>
        <v>5623</v>
      </c>
      <c r="AS143" s="23">
        <v>56</v>
      </c>
      <c r="AT143" s="23">
        <v>23</v>
      </c>
      <c r="AU143" s="23">
        <v>0</v>
      </c>
    </row>
    <row r="144" spans="1:47">
      <c r="A144" s="26" t="s">
        <v>150</v>
      </c>
      <c r="B144" s="23" t="s">
        <v>126</v>
      </c>
      <c r="C144" s="23">
        <v>2</v>
      </c>
      <c r="E144" s="23" t="s">
        <v>60</v>
      </c>
      <c r="F144" s="23" t="s">
        <v>146</v>
      </c>
      <c r="G144" s="27">
        <v>2022</v>
      </c>
      <c r="H144" s="27">
        <v>20</v>
      </c>
      <c r="I144" s="27">
        <v>25</v>
      </c>
      <c r="J144" s="27">
        <v>20</v>
      </c>
      <c r="K144" s="27">
        <v>7</v>
      </c>
      <c r="L144" s="27">
        <v>14</v>
      </c>
      <c r="P144" s="28">
        <f t="shared" si="90"/>
        <v>21</v>
      </c>
      <c r="Q144" s="28">
        <f t="shared" si="91"/>
        <v>25.020000000000003</v>
      </c>
      <c r="R144" s="28">
        <f t="shared" si="92"/>
        <v>39.293333333333337</v>
      </c>
      <c r="S144" s="27">
        <v>120</v>
      </c>
      <c r="T144" s="29">
        <f t="shared" si="88"/>
        <v>360.40000000000003</v>
      </c>
      <c r="U144" s="27">
        <v>265</v>
      </c>
      <c r="V144" s="27">
        <v>11</v>
      </c>
      <c r="W144" s="27">
        <v>98</v>
      </c>
      <c r="X144" s="29">
        <f t="shared" si="70"/>
        <v>185</v>
      </c>
      <c r="Y144" s="27" t="s">
        <v>69</v>
      </c>
      <c r="Z144" s="27" t="s">
        <v>69</v>
      </c>
      <c r="AA144" s="29">
        <f t="shared" si="93"/>
        <v>5</v>
      </c>
      <c r="AB144" s="29">
        <f t="shared" si="94"/>
        <v>8</v>
      </c>
      <c r="AC144" s="29" t="str">
        <f t="shared" si="95"/>
        <v/>
      </c>
      <c r="AD144" s="29" t="str">
        <f t="shared" si="96"/>
        <v/>
      </c>
      <c r="AE144" s="29" t="str">
        <f t="shared" si="97"/>
        <v/>
      </c>
      <c r="AF144" s="29" t="str">
        <f t="shared" si="98"/>
        <v/>
      </c>
      <c r="AG144" s="27">
        <v>13</v>
      </c>
      <c r="AH144" s="27">
        <v>0</v>
      </c>
      <c r="AI144" s="27">
        <v>0</v>
      </c>
      <c r="AJ144" s="23" t="s">
        <v>153</v>
      </c>
      <c r="AK144" s="23" t="s">
        <v>154</v>
      </c>
      <c r="AL144" s="30">
        <v>3</v>
      </c>
      <c r="AM144" s="30" t="s">
        <v>155</v>
      </c>
      <c r="AN144" s="31" t="str">
        <f t="shared" si="89"/>
        <v>2 doors</v>
      </c>
      <c r="AO144" s="23" t="s">
        <v>66</v>
      </c>
      <c r="AP144" s="23" t="s">
        <v>89</v>
      </c>
      <c r="AQ144" s="23" t="s">
        <v>78</v>
      </c>
      <c r="AR144" s="34">
        <f t="shared" si="99"/>
        <v>5624</v>
      </c>
      <c r="AS144" s="23">
        <v>56</v>
      </c>
      <c r="AT144" s="23">
        <v>24</v>
      </c>
      <c r="AU144" s="23">
        <v>0</v>
      </c>
    </row>
    <row r="145" spans="1:47">
      <c r="A145" s="26" t="s">
        <v>150</v>
      </c>
      <c r="B145" s="23" t="s">
        <v>128</v>
      </c>
      <c r="C145" s="23">
        <v>2</v>
      </c>
      <c r="E145" s="23" t="s">
        <v>60</v>
      </c>
      <c r="F145" s="23" t="s">
        <v>147</v>
      </c>
      <c r="G145" s="27">
        <v>2023</v>
      </c>
      <c r="H145" s="27">
        <v>20</v>
      </c>
      <c r="I145" s="27">
        <v>25</v>
      </c>
      <c r="J145" s="27">
        <v>20</v>
      </c>
      <c r="K145" s="27">
        <v>7</v>
      </c>
      <c r="L145" s="27">
        <v>14</v>
      </c>
      <c r="P145" s="28">
        <f t="shared" si="90"/>
        <v>21</v>
      </c>
      <c r="Q145" s="28">
        <f t="shared" si="91"/>
        <v>25.520000000000003</v>
      </c>
      <c r="R145" s="28">
        <f t="shared" si="92"/>
        <v>39.453333333333333</v>
      </c>
      <c r="S145" s="27">
        <v>120</v>
      </c>
      <c r="T145" s="29">
        <f t="shared" si="88"/>
        <v>360.40000000000003</v>
      </c>
      <c r="U145" s="27">
        <v>265</v>
      </c>
      <c r="V145" s="27">
        <v>12</v>
      </c>
      <c r="W145" s="27">
        <v>107</v>
      </c>
      <c r="X145" s="29">
        <f t="shared" si="70"/>
        <v>185</v>
      </c>
      <c r="Y145" s="27" t="s">
        <v>69</v>
      </c>
      <c r="Z145" s="27" t="s">
        <v>69</v>
      </c>
      <c r="AA145" s="29">
        <f t="shared" si="93"/>
        <v>6</v>
      </c>
      <c r="AB145" s="29">
        <f t="shared" si="94"/>
        <v>8</v>
      </c>
      <c r="AC145" s="29" t="str">
        <f t="shared" si="95"/>
        <v/>
      </c>
      <c r="AD145" s="29" t="str">
        <f t="shared" si="96"/>
        <v/>
      </c>
      <c r="AE145" s="29" t="str">
        <f t="shared" si="97"/>
        <v/>
      </c>
      <c r="AF145" s="29" t="str">
        <f t="shared" si="98"/>
        <v/>
      </c>
      <c r="AG145" s="27">
        <v>14</v>
      </c>
      <c r="AH145" s="27">
        <v>0</v>
      </c>
      <c r="AI145" s="27">
        <v>0</v>
      </c>
      <c r="AJ145" s="23" t="s">
        <v>153</v>
      </c>
      <c r="AK145" s="23" t="s">
        <v>154</v>
      </c>
      <c r="AL145" s="30">
        <v>3</v>
      </c>
      <c r="AM145" s="30" t="s">
        <v>157</v>
      </c>
      <c r="AN145" s="31" t="str">
        <f t="shared" si="89"/>
        <v>2 doors</v>
      </c>
      <c r="AO145" s="23" t="s">
        <v>88</v>
      </c>
      <c r="AP145" s="23" t="s">
        <v>89</v>
      </c>
      <c r="AQ145" s="23" t="s">
        <v>78</v>
      </c>
      <c r="AR145" s="34">
        <f t="shared" si="99"/>
        <v>5625</v>
      </c>
      <c r="AS145" s="23">
        <v>56</v>
      </c>
      <c r="AT145" s="23">
        <v>25</v>
      </c>
      <c r="AU145" s="23">
        <v>0</v>
      </c>
    </row>
    <row r="146" spans="1:47">
      <c r="A146" s="26" t="s">
        <v>150</v>
      </c>
      <c r="B146" s="23" t="s">
        <v>128</v>
      </c>
      <c r="C146" s="23">
        <v>2</v>
      </c>
      <c r="E146" s="23" t="s">
        <v>60</v>
      </c>
      <c r="F146" s="23" t="s">
        <v>147</v>
      </c>
      <c r="G146" s="27">
        <v>2023</v>
      </c>
      <c r="H146" s="27">
        <v>20</v>
      </c>
      <c r="I146" s="27">
        <v>25</v>
      </c>
      <c r="J146" s="27">
        <v>20</v>
      </c>
      <c r="K146" s="27">
        <v>7</v>
      </c>
      <c r="L146" s="27">
        <v>14</v>
      </c>
      <c r="P146" s="28">
        <f t="shared" si="90"/>
        <v>21</v>
      </c>
      <c r="Q146" s="28">
        <f t="shared" si="91"/>
        <v>25.520000000000003</v>
      </c>
      <c r="R146" s="28">
        <f t="shared" si="92"/>
        <v>39.453333333333333</v>
      </c>
      <c r="S146" s="27">
        <v>120</v>
      </c>
      <c r="T146" s="29">
        <f t="shared" si="88"/>
        <v>360.40000000000003</v>
      </c>
      <c r="U146" s="27">
        <v>265</v>
      </c>
      <c r="V146" s="27">
        <v>12</v>
      </c>
      <c r="W146" s="27">
        <v>107</v>
      </c>
      <c r="X146" s="29">
        <f t="shared" ref="X146:X209" si="113">IF(AP146="Regional", 185, IF(AP146="Intercity", 150, IF(AP146="Tourist", 100, 200)))</f>
        <v>185</v>
      </c>
      <c r="Y146" s="27" t="s">
        <v>186</v>
      </c>
      <c r="Z146" s="27" t="s">
        <v>186</v>
      </c>
      <c r="AA146" s="29">
        <f t="shared" si="93"/>
        <v>6</v>
      </c>
      <c r="AB146" s="29">
        <f t="shared" si="94"/>
        <v>8</v>
      </c>
      <c r="AC146" s="29" t="str">
        <f t="shared" si="95"/>
        <v/>
      </c>
      <c r="AD146" s="29" t="str">
        <f t="shared" si="96"/>
        <v/>
      </c>
      <c r="AE146" s="29" t="str">
        <f t="shared" si="97"/>
        <v/>
      </c>
      <c r="AF146" s="29" t="str">
        <f t="shared" si="98"/>
        <v/>
      </c>
      <c r="AG146" s="27">
        <v>14</v>
      </c>
      <c r="AH146" s="27">
        <v>0</v>
      </c>
      <c r="AI146" s="27">
        <v>0</v>
      </c>
      <c r="AJ146" s="23" t="s">
        <v>153</v>
      </c>
      <c r="AK146" s="23" t="s">
        <v>154</v>
      </c>
      <c r="AL146" s="30">
        <v>3</v>
      </c>
      <c r="AM146" s="30" t="s">
        <v>157</v>
      </c>
      <c r="AN146" s="31" t="str">
        <f t="shared" si="89"/>
        <v>2 doors</v>
      </c>
      <c r="AO146" s="23" t="s">
        <v>88</v>
      </c>
      <c r="AP146" s="23" t="s">
        <v>89</v>
      </c>
      <c r="AQ146" s="23" t="s">
        <v>191</v>
      </c>
      <c r="AR146" s="34">
        <f t="shared" si="99"/>
        <v>5625.01</v>
      </c>
      <c r="AS146" s="23">
        <v>56</v>
      </c>
      <c r="AT146" s="23">
        <v>25</v>
      </c>
      <c r="AU146" s="23">
        <v>1</v>
      </c>
    </row>
    <row r="147" spans="1:47">
      <c r="A147" s="26" t="s">
        <v>150</v>
      </c>
      <c r="B147" s="23" t="s">
        <v>128</v>
      </c>
      <c r="C147" s="23">
        <v>2</v>
      </c>
      <c r="E147" s="23" t="s">
        <v>60</v>
      </c>
      <c r="F147" s="23" t="s">
        <v>147</v>
      </c>
      <c r="G147" s="27">
        <v>2023</v>
      </c>
      <c r="H147" s="27">
        <v>20</v>
      </c>
      <c r="I147" s="27">
        <v>25</v>
      </c>
      <c r="J147" s="27">
        <v>20</v>
      </c>
      <c r="K147" s="27">
        <v>7</v>
      </c>
      <c r="L147" s="27">
        <v>14</v>
      </c>
      <c r="P147" s="28">
        <f t="shared" si="90"/>
        <v>21</v>
      </c>
      <c r="Q147" s="28">
        <f t="shared" si="91"/>
        <v>25.520000000000003</v>
      </c>
      <c r="R147" s="28">
        <f t="shared" si="92"/>
        <v>39.453333333333333</v>
      </c>
      <c r="S147" s="27">
        <v>120</v>
      </c>
      <c r="T147" s="29">
        <f t="shared" si="88"/>
        <v>360.40000000000003</v>
      </c>
      <c r="U147" s="27">
        <v>265</v>
      </c>
      <c r="V147" s="27">
        <v>12</v>
      </c>
      <c r="W147" s="27">
        <v>107</v>
      </c>
      <c r="X147" s="29">
        <f t="shared" si="113"/>
        <v>185</v>
      </c>
      <c r="Y147" s="27" t="s">
        <v>192</v>
      </c>
      <c r="Z147" s="27" t="s">
        <v>192</v>
      </c>
      <c r="AA147" s="29">
        <f t="shared" si="93"/>
        <v>6</v>
      </c>
      <c r="AB147" s="29">
        <f t="shared" si="94"/>
        <v>8</v>
      </c>
      <c r="AC147" s="29" t="str">
        <f t="shared" si="95"/>
        <v/>
      </c>
      <c r="AD147" s="29" t="str">
        <f t="shared" si="96"/>
        <v/>
      </c>
      <c r="AE147" s="29" t="str">
        <f t="shared" si="97"/>
        <v/>
      </c>
      <c r="AF147" s="29" t="str">
        <f t="shared" si="98"/>
        <v/>
      </c>
      <c r="AG147" s="27">
        <v>14</v>
      </c>
      <c r="AH147" s="27">
        <v>0</v>
      </c>
      <c r="AI147" s="27">
        <v>0</v>
      </c>
      <c r="AJ147" s="23" t="s">
        <v>153</v>
      </c>
      <c r="AK147" s="23" t="s">
        <v>154</v>
      </c>
      <c r="AL147" s="30">
        <v>3</v>
      </c>
      <c r="AM147" s="30" t="s">
        <v>157</v>
      </c>
      <c r="AN147" s="31" t="str">
        <f t="shared" si="89"/>
        <v>2 doors</v>
      </c>
      <c r="AO147" s="23" t="s">
        <v>88</v>
      </c>
      <c r="AP147" s="23" t="s">
        <v>89</v>
      </c>
      <c r="AQ147" s="23" t="s">
        <v>191</v>
      </c>
      <c r="AR147" s="34">
        <f t="shared" si="99"/>
        <v>5625.02</v>
      </c>
      <c r="AS147" s="23">
        <v>56</v>
      </c>
      <c r="AT147" s="23">
        <v>25</v>
      </c>
      <c r="AU147" s="23">
        <v>2</v>
      </c>
    </row>
    <row r="148" spans="1:47">
      <c r="A148" s="26" t="s">
        <v>150</v>
      </c>
      <c r="B148" s="23" t="s">
        <v>149</v>
      </c>
      <c r="C148" s="23">
        <v>3</v>
      </c>
      <c r="E148" s="23" t="s">
        <v>60</v>
      </c>
      <c r="F148" s="23" t="s">
        <v>148</v>
      </c>
      <c r="G148" s="27">
        <v>2024</v>
      </c>
      <c r="H148" s="27">
        <v>20</v>
      </c>
      <c r="I148" s="27">
        <v>25</v>
      </c>
      <c r="J148" s="27">
        <v>20</v>
      </c>
      <c r="K148" s="27">
        <v>7</v>
      </c>
      <c r="L148" s="27">
        <v>14</v>
      </c>
      <c r="M148" s="27">
        <v>7</v>
      </c>
      <c r="P148" s="28">
        <f t="shared" si="90"/>
        <v>28</v>
      </c>
      <c r="Q148" s="28">
        <f t="shared" si="91"/>
        <v>27.020000000000003</v>
      </c>
      <c r="R148" s="28">
        <f t="shared" si="92"/>
        <v>40.24666666666667</v>
      </c>
      <c r="S148" s="27">
        <v>120</v>
      </c>
      <c r="T148" s="29">
        <f t="shared" si="88"/>
        <v>360.40000000000003</v>
      </c>
      <c r="U148" s="27">
        <v>265</v>
      </c>
      <c r="V148" s="27">
        <v>14</v>
      </c>
      <c r="W148" s="27">
        <v>121</v>
      </c>
      <c r="X148" s="29">
        <f t="shared" si="113"/>
        <v>185</v>
      </c>
      <c r="Y148" s="27" t="s">
        <v>69</v>
      </c>
      <c r="Z148" s="27" t="s">
        <v>69</v>
      </c>
      <c r="AA148" s="29">
        <f t="shared" si="93"/>
        <v>7</v>
      </c>
      <c r="AB148" s="29">
        <f t="shared" si="94"/>
        <v>8</v>
      </c>
      <c r="AC148" s="29" t="str">
        <f t="shared" si="95"/>
        <v/>
      </c>
      <c r="AD148" s="29" t="str">
        <f t="shared" si="96"/>
        <v/>
      </c>
      <c r="AE148" s="29" t="str">
        <f t="shared" si="97"/>
        <v/>
      </c>
      <c r="AF148" s="29" t="str">
        <f t="shared" si="98"/>
        <v/>
      </c>
      <c r="AG148" s="27">
        <v>15</v>
      </c>
      <c r="AH148" s="27">
        <v>0</v>
      </c>
      <c r="AI148" s="27">
        <v>0</v>
      </c>
      <c r="AJ148" s="23" t="s">
        <v>153</v>
      </c>
      <c r="AK148" s="23" t="s">
        <v>154</v>
      </c>
      <c r="AL148" s="30">
        <v>3</v>
      </c>
      <c r="AM148" s="30" t="s">
        <v>158</v>
      </c>
      <c r="AN148" s="31" t="str">
        <f t="shared" si="89"/>
        <v>3 doors</v>
      </c>
      <c r="AO148" s="23" t="s">
        <v>159</v>
      </c>
      <c r="AP148" s="23" t="s">
        <v>89</v>
      </c>
      <c r="AQ148" s="23" t="s">
        <v>78</v>
      </c>
      <c r="AR148" s="34">
        <f t="shared" si="99"/>
        <v>5626</v>
      </c>
      <c r="AS148" s="23">
        <v>56</v>
      </c>
      <c r="AT148" s="23">
        <v>26</v>
      </c>
      <c r="AU148" s="23">
        <v>0</v>
      </c>
    </row>
    <row r="149" spans="1:47">
      <c r="A149" s="26" t="s">
        <v>322</v>
      </c>
      <c r="B149" s="23">
        <v>12</v>
      </c>
      <c r="C149" s="23">
        <v>2</v>
      </c>
      <c r="E149" s="23" t="s">
        <v>60</v>
      </c>
      <c r="F149" s="23" t="s">
        <v>323</v>
      </c>
      <c r="G149" s="27">
        <v>2017</v>
      </c>
      <c r="H149" s="27">
        <v>20</v>
      </c>
      <c r="I149" s="27">
        <v>25</v>
      </c>
      <c r="J149" s="27">
        <v>20</v>
      </c>
      <c r="K149" s="27">
        <v>5</v>
      </c>
      <c r="L149" s="27">
        <v>5</v>
      </c>
      <c r="P149" s="28">
        <f t="shared" si="90"/>
        <v>10</v>
      </c>
      <c r="Q149" s="28">
        <f t="shared" si="91"/>
        <v>29.746285714285719</v>
      </c>
      <c r="R149" s="28">
        <f t="shared" si="92"/>
        <v>46.504952380952382</v>
      </c>
      <c r="S149" s="27">
        <v>110</v>
      </c>
      <c r="T149" s="29">
        <f t="shared" si="88"/>
        <v>440.64000000000004</v>
      </c>
      <c r="U149" s="27">
        <v>324</v>
      </c>
      <c r="V149" s="27">
        <v>14</v>
      </c>
      <c r="W149" s="27">
        <v>49</v>
      </c>
      <c r="X149" s="29">
        <f t="shared" si="113"/>
        <v>150</v>
      </c>
      <c r="Y149" s="27" t="s">
        <v>69</v>
      </c>
      <c r="Z149" s="27" t="s">
        <v>69</v>
      </c>
      <c r="AA149" s="29">
        <f t="shared" si="93"/>
        <v>5</v>
      </c>
      <c r="AB149" s="29">
        <f t="shared" si="94"/>
        <v>8</v>
      </c>
      <c r="AC149" s="29" t="str">
        <f t="shared" si="95"/>
        <v/>
      </c>
      <c r="AD149" s="29" t="str">
        <f t="shared" si="96"/>
        <v/>
      </c>
      <c r="AE149" s="29" t="str">
        <f t="shared" si="97"/>
        <v/>
      </c>
      <c r="AF149" s="29" t="str">
        <f t="shared" si="98"/>
        <v/>
      </c>
      <c r="AG149" s="27">
        <v>13</v>
      </c>
      <c r="AH149" s="27">
        <v>0</v>
      </c>
      <c r="AI149" s="27">
        <v>0</v>
      </c>
      <c r="AJ149" s="23" t="s">
        <v>336</v>
      </c>
      <c r="AK149" s="23" t="s">
        <v>330</v>
      </c>
      <c r="AL149" s="30">
        <v>3</v>
      </c>
      <c r="AM149" s="30"/>
      <c r="AN149" s="31" t="str">
        <f t="shared" si="89"/>
        <v>2 doors</v>
      </c>
      <c r="AO149" s="23" t="s">
        <v>66</v>
      </c>
      <c r="AP149" s="23" t="s">
        <v>211</v>
      </c>
      <c r="AQ149" s="23" t="s">
        <v>78</v>
      </c>
      <c r="AR149" s="34">
        <f t="shared" si="99"/>
        <v>5700</v>
      </c>
      <c r="AS149" s="23">
        <v>57</v>
      </c>
      <c r="AT149" s="23">
        <v>0</v>
      </c>
      <c r="AU149" s="23">
        <v>0</v>
      </c>
    </row>
    <row r="150" spans="1:47">
      <c r="A150" s="26" t="s">
        <v>322</v>
      </c>
      <c r="B150" s="23">
        <v>13</v>
      </c>
      <c r="C150" s="23">
        <v>2</v>
      </c>
      <c r="E150" s="23" t="s">
        <v>60</v>
      </c>
      <c r="F150" s="23" t="s">
        <v>327</v>
      </c>
      <c r="G150" s="27">
        <v>2017</v>
      </c>
      <c r="H150" s="27">
        <v>20</v>
      </c>
      <c r="I150" s="27">
        <v>25</v>
      </c>
      <c r="J150" s="27">
        <v>20</v>
      </c>
      <c r="K150" s="27">
        <v>5</v>
      </c>
      <c r="L150" s="27">
        <v>5</v>
      </c>
      <c r="P150" s="28">
        <f t="shared" si="90"/>
        <v>10</v>
      </c>
      <c r="Q150" s="28">
        <f t="shared" si="91"/>
        <v>30.246285714285719</v>
      </c>
      <c r="R150" s="28">
        <f t="shared" si="92"/>
        <v>46.631619047619054</v>
      </c>
      <c r="S150" s="27">
        <v>110</v>
      </c>
      <c r="T150" s="29">
        <f t="shared" si="88"/>
        <v>440.64000000000004</v>
      </c>
      <c r="U150" s="27">
        <v>324</v>
      </c>
      <c r="V150" s="27">
        <v>15</v>
      </c>
      <c r="W150" s="27">
        <v>53</v>
      </c>
      <c r="X150" s="29">
        <f t="shared" si="113"/>
        <v>150</v>
      </c>
      <c r="Y150" s="27" t="s">
        <v>69</v>
      </c>
      <c r="Z150" s="27" t="s">
        <v>69</v>
      </c>
      <c r="AA150" s="29">
        <f t="shared" si="93"/>
        <v>6</v>
      </c>
      <c r="AB150" s="29">
        <f t="shared" si="94"/>
        <v>8</v>
      </c>
      <c r="AC150" s="29" t="str">
        <f t="shared" si="95"/>
        <v/>
      </c>
      <c r="AD150" s="29" t="str">
        <f t="shared" si="96"/>
        <v/>
      </c>
      <c r="AE150" s="29" t="str">
        <f t="shared" si="97"/>
        <v/>
      </c>
      <c r="AF150" s="29" t="str">
        <f t="shared" si="98"/>
        <v/>
      </c>
      <c r="AG150" s="27">
        <v>14</v>
      </c>
      <c r="AH150" s="27">
        <v>0</v>
      </c>
      <c r="AI150" s="27">
        <v>0</v>
      </c>
      <c r="AJ150" s="23" t="s">
        <v>336</v>
      </c>
      <c r="AK150" s="23" t="s">
        <v>330</v>
      </c>
      <c r="AL150" s="30">
        <v>3</v>
      </c>
      <c r="AM150" s="30"/>
      <c r="AN150" s="31" t="str">
        <f t="shared" si="89"/>
        <v>2 doors</v>
      </c>
      <c r="AO150" s="23" t="s">
        <v>88</v>
      </c>
      <c r="AP150" s="23" t="s">
        <v>211</v>
      </c>
      <c r="AQ150" s="23" t="s">
        <v>78</v>
      </c>
      <c r="AR150" s="34">
        <f t="shared" si="99"/>
        <v>5701</v>
      </c>
      <c r="AS150" s="23">
        <v>57</v>
      </c>
      <c r="AT150" s="23">
        <v>1</v>
      </c>
      <c r="AU150" s="23">
        <v>0</v>
      </c>
    </row>
    <row r="151" spans="1:47">
      <c r="A151" s="26" t="s">
        <v>322</v>
      </c>
      <c r="B151" s="23">
        <v>13</v>
      </c>
      <c r="C151" s="23">
        <v>2</v>
      </c>
      <c r="E151" s="23" t="s">
        <v>60</v>
      </c>
      <c r="F151" s="23" t="s">
        <v>327</v>
      </c>
      <c r="G151" s="27">
        <v>2017</v>
      </c>
      <c r="H151" s="27">
        <v>20</v>
      </c>
      <c r="I151" s="27">
        <v>25</v>
      </c>
      <c r="J151" s="27">
        <v>20</v>
      </c>
      <c r="K151" s="27">
        <v>5</v>
      </c>
      <c r="L151" s="27">
        <v>5</v>
      </c>
      <c r="P151" s="28">
        <f t="shared" si="90"/>
        <v>10</v>
      </c>
      <c r="Q151" s="28">
        <f t="shared" si="91"/>
        <v>30.246285714285719</v>
      </c>
      <c r="R151" s="28">
        <f t="shared" si="92"/>
        <v>46.631619047619054</v>
      </c>
      <c r="S151" s="27">
        <v>110</v>
      </c>
      <c r="T151" s="29">
        <f t="shared" si="88"/>
        <v>440.64000000000004</v>
      </c>
      <c r="U151" s="27">
        <v>324</v>
      </c>
      <c r="V151" s="27">
        <v>15</v>
      </c>
      <c r="W151" s="27">
        <v>53</v>
      </c>
      <c r="X151" s="29">
        <f t="shared" si="113"/>
        <v>150</v>
      </c>
      <c r="Y151" s="27" t="s">
        <v>102</v>
      </c>
      <c r="Z151" s="27" t="s">
        <v>326</v>
      </c>
      <c r="AA151" s="29">
        <f t="shared" si="93"/>
        <v>6</v>
      </c>
      <c r="AB151" s="29">
        <f t="shared" si="94"/>
        <v>8</v>
      </c>
      <c r="AC151" s="29" t="str">
        <f t="shared" si="95"/>
        <v/>
      </c>
      <c r="AD151" s="29" t="str">
        <f t="shared" si="96"/>
        <v/>
      </c>
      <c r="AE151" s="29" t="str">
        <f t="shared" si="97"/>
        <v/>
      </c>
      <c r="AF151" s="29" t="str">
        <f t="shared" si="98"/>
        <v/>
      </c>
      <c r="AG151" s="27">
        <v>14</v>
      </c>
      <c r="AH151" s="27">
        <v>0</v>
      </c>
      <c r="AI151" s="27">
        <v>0</v>
      </c>
      <c r="AJ151" s="23" t="s">
        <v>336</v>
      </c>
      <c r="AK151" s="23" t="s">
        <v>330</v>
      </c>
      <c r="AL151" s="30">
        <v>3</v>
      </c>
      <c r="AM151" s="30"/>
      <c r="AN151" s="31" t="str">
        <f t="shared" si="89"/>
        <v>2 doors</v>
      </c>
      <c r="AO151" s="23" t="s">
        <v>88</v>
      </c>
      <c r="AP151" s="23" t="s">
        <v>211</v>
      </c>
      <c r="AQ151" s="23" t="s">
        <v>78</v>
      </c>
      <c r="AR151" s="34">
        <f t="shared" si="99"/>
        <v>5701.01</v>
      </c>
      <c r="AS151" s="23">
        <v>57</v>
      </c>
      <c r="AT151" s="23">
        <v>1</v>
      </c>
      <c r="AU151" s="23">
        <v>1</v>
      </c>
    </row>
    <row r="152" spans="1:47">
      <c r="A152" s="26" t="s">
        <v>322</v>
      </c>
      <c r="B152" s="23">
        <v>13</v>
      </c>
      <c r="C152" s="23">
        <v>2</v>
      </c>
      <c r="E152" s="23" t="s">
        <v>60</v>
      </c>
      <c r="F152" s="23" t="s">
        <v>327</v>
      </c>
      <c r="G152" s="27">
        <v>2017</v>
      </c>
      <c r="H152" s="27">
        <v>20</v>
      </c>
      <c r="I152" s="27">
        <v>25</v>
      </c>
      <c r="J152" s="27">
        <v>20</v>
      </c>
      <c r="K152" s="27">
        <v>5</v>
      </c>
      <c r="L152" s="27">
        <v>5</v>
      </c>
      <c r="P152" s="28">
        <f t="shared" si="90"/>
        <v>10</v>
      </c>
      <c r="Q152" s="28">
        <f t="shared" si="91"/>
        <v>30.246285714285719</v>
      </c>
      <c r="R152" s="28">
        <f t="shared" si="92"/>
        <v>46.631619047619054</v>
      </c>
      <c r="S152" s="27">
        <v>110</v>
      </c>
      <c r="T152" s="29">
        <f t="shared" si="88"/>
        <v>440.64000000000004</v>
      </c>
      <c r="U152" s="27">
        <v>324</v>
      </c>
      <c r="V152" s="27">
        <v>15</v>
      </c>
      <c r="W152" s="27">
        <v>53</v>
      </c>
      <c r="X152" s="29">
        <f t="shared" si="113"/>
        <v>150</v>
      </c>
      <c r="Y152" s="27" t="s">
        <v>186</v>
      </c>
      <c r="Z152" s="27" t="s">
        <v>325</v>
      </c>
      <c r="AA152" s="29">
        <f t="shared" si="93"/>
        <v>6</v>
      </c>
      <c r="AB152" s="29">
        <f t="shared" si="94"/>
        <v>8</v>
      </c>
      <c r="AC152" s="29" t="str">
        <f t="shared" si="95"/>
        <v/>
      </c>
      <c r="AD152" s="29" t="str">
        <f t="shared" si="96"/>
        <v/>
      </c>
      <c r="AE152" s="29" t="str">
        <f t="shared" si="97"/>
        <v/>
      </c>
      <c r="AF152" s="29" t="str">
        <f t="shared" si="98"/>
        <v/>
      </c>
      <c r="AG152" s="27">
        <v>14</v>
      </c>
      <c r="AH152" s="27">
        <v>0</v>
      </c>
      <c r="AI152" s="27">
        <v>0</v>
      </c>
      <c r="AJ152" s="23" t="s">
        <v>336</v>
      </c>
      <c r="AK152" s="23" t="s">
        <v>330</v>
      </c>
      <c r="AL152" s="30">
        <v>3</v>
      </c>
      <c r="AM152" s="30"/>
      <c r="AN152" s="31" t="str">
        <f t="shared" si="89"/>
        <v>2 doors</v>
      </c>
      <c r="AO152" s="23" t="s">
        <v>88</v>
      </c>
      <c r="AP152" s="23" t="s">
        <v>211</v>
      </c>
      <c r="AQ152" s="23" t="s">
        <v>78</v>
      </c>
      <c r="AR152" s="34">
        <f t="shared" si="99"/>
        <v>5701.02</v>
      </c>
      <c r="AS152" s="23">
        <v>57</v>
      </c>
      <c r="AT152" s="23">
        <v>1</v>
      </c>
      <c r="AU152" s="23">
        <v>2</v>
      </c>
    </row>
    <row r="153" spans="1:47">
      <c r="A153" s="26" t="s">
        <v>322</v>
      </c>
      <c r="B153" s="23">
        <v>13.5</v>
      </c>
      <c r="C153" s="23">
        <v>2</v>
      </c>
      <c r="E153" s="23" t="s">
        <v>60</v>
      </c>
      <c r="F153" s="23" t="s">
        <v>328</v>
      </c>
      <c r="G153" s="27">
        <v>2017</v>
      </c>
      <c r="H153" s="27">
        <v>20</v>
      </c>
      <c r="I153" s="27">
        <v>25</v>
      </c>
      <c r="J153" s="27">
        <v>20</v>
      </c>
      <c r="K153" s="27">
        <v>5</v>
      </c>
      <c r="L153" s="27">
        <v>5</v>
      </c>
      <c r="P153" s="28">
        <f t="shared" si="90"/>
        <v>10</v>
      </c>
      <c r="Q153" s="28">
        <f t="shared" si="91"/>
        <v>34.690285714285714</v>
      </c>
      <c r="R153" s="28">
        <f t="shared" si="92"/>
        <v>54.64628571428571</v>
      </c>
      <c r="S153" s="27">
        <v>110</v>
      </c>
      <c r="T153" s="29">
        <f t="shared" si="88"/>
        <v>519.52</v>
      </c>
      <c r="U153" s="27">
        <v>382</v>
      </c>
      <c r="V153" s="27">
        <v>16</v>
      </c>
      <c r="W153" s="27">
        <v>57</v>
      </c>
      <c r="X153" s="29">
        <f t="shared" si="113"/>
        <v>150</v>
      </c>
      <c r="Y153" s="27" t="s">
        <v>69</v>
      </c>
      <c r="Z153" s="27" t="s">
        <v>69</v>
      </c>
      <c r="AA153" s="29">
        <f t="shared" si="93"/>
        <v>6</v>
      </c>
      <c r="AB153" s="29">
        <f t="shared" si="94"/>
        <v>8</v>
      </c>
      <c r="AC153" s="29" t="str">
        <f t="shared" si="95"/>
        <v/>
      </c>
      <c r="AD153" s="29" t="str">
        <f t="shared" si="96"/>
        <v/>
      </c>
      <c r="AE153" s="29" t="str">
        <f t="shared" si="97"/>
        <v/>
      </c>
      <c r="AF153" s="29" t="str">
        <f t="shared" si="98"/>
        <v/>
      </c>
      <c r="AG153" s="27">
        <v>14</v>
      </c>
      <c r="AH153" s="27">
        <v>0</v>
      </c>
      <c r="AI153" s="27">
        <v>0</v>
      </c>
      <c r="AJ153" s="23" t="s">
        <v>336</v>
      </c>
      <c r="AK153" s="23" t="s">
        <v>330</v>
      </c>
      <c r="AL153" s="30">
        <v>3</v>
      </c>
      <c r="AM153" s="30"/>
      <c r="AN153" s="31" t="str">
        <f t="shared" si="89"/>
        <v>2 doors</v>
      </c>
      <c r="AO153" s="23" t="s">
        <v>324</v>
      </c>
      <c r="AP153" s="23" t="s">
        <v>211</v>
      </c>
      <c r="AQ153" s="23" t="s">
        <v>78</v>
      </c>
      <c r="AR153" s="34">
        <f t="shared" si="99"/>
        <v>5702</v>
      </c>
      <c r="AS153" s="23">
        <v>57</v>
      </c>
      <c r="AT153" s="23">
        <v>2</v>
      </c>
      <c r="AU153" s="23">
        <v>0</v>
      </c>
    </row>
    <row r="154" spans="1:47">
      <c r="A154" s="26" t="s">
        <v>322</v>
      </c>
      <c r="B154" s="23">
        <v>14</v>
      </c>
      <c r="C154" s="23">
        <v>2</v>
      </c>
      <c r="E154" s="23" t="s">
        <v>60</v>
      </c>
      <c r="F154" s="23" t="s">
        <v>329</v>
      </c>
      <c r="G154" s="27">
        <v>2017</v>
      </c>
      <c r="H154" s="27">
        <v>20</v>
      </c>
      <c r="I154" s="27">
        <v>25</v>
      </c>
      <c r="J154" s="27">
        <v>20</v>
      </c>
      <c r="K154" s="27">
        <v>5</v>
      </c>
      <c r="L154" s="27">
        <v>5</v>
      </c>
      <c r="P154" s="28">
        <f t="shared" si="90"/>
        <v>10</v>
      </c>
      <c r="Q154" s="28">
        <f t="shared" si="91"/>
        <v>35.190285714285714</v>
      </c>
      <c r="R154" s="28">
        <f t="shared" si="92"/>
        <v>54.772952380952383</v>
      </c>
      <c r="S154" s="27">
        <v>110</v>
      </c>
      <c r="T154" s="29">
        <f t="shared" si="88"/>
        <v>519.52</v>
      </c>
      <c r="U154" s="27">
        <v>382</v>
      </c>
      <c r="V154" s="27">
        <v>17</v>
      </c>
      <c r="W154" s="27">
        <v>61</v>
      </c>
      <c r="X154" s="29">
        <f t="shared" si="113"/>
        <v>150</v>
      </c>
      <c r="Y154" s="27" t="s">
        <v>69</v>
      </c>
      <c r="Z154" s="27" t="s">
        <v>69</v>
      </c>
      <c r="AA154" s="29">
        <f t="shared" si="93"/>
        <v>6</v>
      </c>
      <c r="AB154" s="29">
        <f t="shared" si="94"/>
        <v>8</v>
      </c>
      <c r="AC154" s="29" t="str">
        <f t="shared" si="95"/>
        <v/>
      </c>
      <c r="AD154" s="29" t="str">
        <f t="shared" si="96"/>
        <v/>
      </c>
      <c r="AE154" s="29" t="str">
        <f t="shared" si="97"/>
        <v/>
      </c>
      <c r="AF154" s="29" t="str">
        <f t="shared" si="98"/>
        <v/>
      </c>
      <c r="AG154" s="27">
        <v>14</v>
      </c>
      <c r="AH154" s="27">
        <v>0</v>
      </c>
      <c r="AI154" s="27">
        <v>0</v>
      </c>
      <c r="AJ154" s="23" t="s">
        <v>336</v>
      </c>
      <c r="AK154" s="23" t="s">
        <v>330</v>
      </c>
      <c r="AL154" s="30">
        <v>3</v>
      </c>
      <c r="AM154" s="30"/>
      <c r="AN154" s="31" t="str">
        <f t="shared" si="89"/>
        <v>2 doors</v>
      </c>
      <c r="AO154" s="23" t="s">
        <v>159</v>
      </c>
      <c r="AP154" s="23" t="s">
        <v>211</v>
      </c>
      <c r="AQ154" s="23" t="s">
        <v>78</v>
      </c>
      <c r="AR154" s="34">
        <f t="shared" si="99"/>
        <v>5703</v>
      </c>
      <c r="AS154" s="23">
        <v>57</v>
      </c>
      <c r="AT154" s="23">
        <v>3</v>
      </c>
      <c r="AU154" s="23">
        <v>0</v>
      </c>
    </row>
    <row r="155" spans="1:47">
      <c r="A155" s="26" t="s">
        <v>73</v>
      </c>
      <c r="B155" s="23" t="s">
        <v>55</v>
      </c>
      <c r="C155" s="23">
        <v>3</v>
      </c>
      <c r="E155" s="23" t="s">
        <v>60</v>
      </c>
      <c r="F155" s="23" t="s">
        <v>6</v>
      </c>
      <c r="G155" s="27">
        <v>2007</v>
      </c>
      <c r="H155" s="27">
        <v>20</v>
      </c>
      <c r="I155" s="27">
        <v>25</v>
      </c>
      <c r="J155" s="27">
        <v>20</v>
      </c>
      <c r="K155" s="27">
        <v>14</v>
      </c>
      <c r="L155" s="27">
        <v>14</v>
      </c>
      <c r="M155" s="27">
        <v>14</v>
      </c>
      <c r="P155" s="28">
        <f t="shared" si="90"/>
        <v>42</v>
      </c>
      <c r="Q155" s="28">
        <f t="shared" si="91"/>
        <v>22.78</v>
      </c>
      <c r="R155" s="28">
        <f t="shared" si="92"/>
        <v>33.333333333333336</v>
      </c>
      <c r="S155" s="27">
        <v>75</v>
      </c>
      <c r="T155" s="29">
        <f t="shared" si="88"/>
        <v>285.60000000000002</v>
      </c>
      <c r="U155" s="27">
        <v>210</v>
      </c>
      <c r="V155" s="27">
        <v>11</v>
      </c>
      <c r="W155" s="27">
        <v>101</v>
      </c>
      <c r="X155" s="29">
        <f t="shared" si="113"/>
        <v>200</v>
      </c>
      <c r="Y155" s="27" t="s">
        <v>69</v>
      </c>
      <c r="Z155" s="27" t="s">
        <v>69</v>
      </c>
      <c r="AA155" s="29">
        <f t="shared" si="93"/>
        <v>5</v>
      </c>
      <c r="AB155" s="29">
        <f t="shared" si="94"/>
        <v>8</v>
      </c>
      <c r="AC155" s="29" t="str">
        <f t="shared" si="95"/>
        <v/>
      </c>
      <c r="AD155" s="29" t="str">
        <f t="shared" si="96"/>
        <v/>
      </c>
      <c r="AE155" s="29" t="str">
        <f t="shared" si="97"/>
        <v/>
      </c>
      <c r="AF155" s="29" t="str">
        <f t="shared" si="98"/>
        <v/>
      </c>
      <c r="AG155" s="27">
        <v>13</v>
      </c>
      <c r="AH155" s="27">
        <v>0</v>
      </c>
      <c r="AI155" s="27">
        <v>0</v>
      </c>
      <c r="AJ155" s="23" t="s">
        <v>98</v>
      </c>
      <c r="AK155" s="23" t="s">
        <v>84</v>
      </c>
      <c r="AL155" s="30">
        <v>2</v>
      </c>
      <c r="AN155" s="31" t="str">
        <f t="shared" si="89"/>
        <v>3 doors</v>
      </c>
      <c r="AO155" s="23" t="s">
        <v>66</v>
      </c>
      <c r="AP155" s="23" t="s">
        <v>71</v>
      </c>
      <c r="AQ155" s="23" t="s">
        <v>78</v>
      </c>
      <c r="AR155" s="34">
        <f t="shared" si="99"/>
        <v>6500</v>
      </c>
      <c r="AS155" s="23">
        <v>65</v>
      </c>
      <c r="AT155" s="23">
        <v>0</v>
      </c>
      <c r="AU155" s="23">
        <v>0</v>
      </c>
    </row>
    <row r="156" spans="1:47">
      <c r="A156" s="26" t="s">
        <v>73</v>
      </c>
      <c r="B156" s="23" t="s">
        <v>55</v>
      </c>
      <c r="C156" s="23">
        <v>3</v>
      </c>
      <c r="E156" s="23" t="s">
        <v>60</v>
      </c>
      <c r="F156" s="23" t="s">
        <v>6</v>
      </c>
      <c r="G156" s="27">
        <v>2007</v>
      </c>
      <c r="H156" s="27">
        <v>20</v>
      </c>
      <c r="I156" s="27">
        <v>25</v>
      </c>
      <c r="J156" s="27">
        <v>20</v>
      </c>
      <c r="K156" s="27">
        <v>14</v>
      </c>
      <c r="L156" s="27">
        <v>14</v>
      </c>
      <c r="M156" s="27">
        <v>14</v>
      </c>
      <c r="P156" s="28">
        <f t="shared" si="90"/>
        <v>42</v>
      </c>
      <c r="Q156" s="28">
        <f t="shared" si="91"/>
        <v>22.78</v>
      </c>
      <c r="R156" s="28">
        <f t="shared" si="92"/>
        <v>33.333333333333336</v>
      </c>
      <c r="S156" s="27">
        <v>75</v>
      </c>
      <c r="T156" s="29">
        <f t="shared" si="88"/>
        <v>285.60000000000002</v>
      </c>
      <c r="U156" s="27">
        <v>210</v>
      </c>
      <c r="V156" s="27">
        <v>11</v>
      </c>
      <c r="W156" s="27">
        <v>101</v>
      </c>
      <c r="X156" s="29">
        <f t="shared" si="113"/>
        <v>200</v>
      </c>
      <c r="Y156" s="27" t="s">
        <v>102</v>
      </c>
      <c r="Z156" s="27" t="s">
        <v>102</v>
      </c>
      <c r="AA156" s="29">
        <f t="shared" si="93"/>
        <v>5</v>
      </c>
      <c r="AB156" s="29">
        <f t="shared" si="94"/>
        <v>8</v>
      </c>
      <c r="AC156" s="29" t="str">
        <f t="shared" si="95"/>
        <v/>
      </c>
      <c r="AD156" s="29" t="str">
        <f t="shared" si="96"/>
        <v/>
      </c>
      <c r="AE156" s="29" t="str">
        <f t="shared" si="97"/>
        <v/>
      </c>
      <c r="AF156" s="29" t="str">
        <f t="shared" si="98"/>
        <v/>
      </c>
      <c r="AG156" s="27">
        <v>13</v>
      </c>
      <c r="AH156" s="27">
        <v>0</v>
      </c>
      <c r="AI156" s="27">
        <v>0</v>
      </c>
      <c r="AJ156" s="23" t="s">
        <v>98</v>
      </c>
      <c r="AK156" s="23" t="s">
        <v>84</v>
      </c>
      <c r="AL156" s="30">
        <v>2</v>
      </c>
      <c r="AN156" s="31" t="str">
        <f t="shared" si="89"/>
        <v>3 doors</v>
      </c>
      <c r="AO156" s="23" t="s">
        <v>66</v>
      </c>
      <c r="AP156" s="23" t="s">
        <v>71</v>
      </c>
      <c r="AQ156" s="23" t="s">
        <v>78</v>
      </c>
      <c r="AR156" s="34">
        <f t="shared" si="99"/>
        <v>6500.01</v>
      </c>
      <c r="AS156" s="23">
        <v>65</v>
      </c>
      <c r="AT156" s="23">
        <v>0</v>
      </c>
      <c r="AU156" s="23">
        <v>1</v>
      </c>
    </row>
    <row r="157" spans="1:47">
      <c r="A157" s="26" t="s">
        <v>73</v>
      </c>
      <c r="B157" s="23" t="s">
        <v>77</v>
      </c>
      <c r="C157" s="23">
        <v>4</v>
      </c>
      <c r="E157" s="23" t="s">
        <v>60</v>
      </c>
      <c r="F157" s="23" t="s">
        <v>7</v>
      </c>
      <c r="G157" s="27">
        <v>2007</v>
      </c>
      <c r="H157" s="27">
        <v>20</v>
      </c>
      <c r="I157" s="27">
        <v>25</v>
      </c>
      <c r="J157" s="27">
        <v>20</v>
      </c>
      <c r="K157" s="27">
        <v>14</v>
      </c>
      <c r="L157" s="27">
        <v>14</v>
      </c>
      <c r="M157" s="27">
        <v>14</v>
      </c>
      <c r="N157" s="27">
        <v>14</v>
      </c>
      <c r="P157" s="28">
        <f t="shared" si="90"/>
        <v>56</v>
      </c>
      <c r="Q157" s="28">
        <f t="shared" si="91"/>
        <v>26.78</v>
      </c>
      <c r="R157" s="28">
        <f t="shared" si="92"/>
        <v>35.260000000000005</v>
      </c>
      <c r="S157" s="27">
        <v>75</v>
      </c>
      <c r="T157" s="29">
        <f t="shared" si="88"/>
        <v>285.60000000000002</v>
      </c>
      <c r="U157" s="27">
        <v>210</v>
      </c>
      <c r="V157" s="27">
        <v>17</v>
      </c>
      <c r="W157" s="27">
        <v>150</v>
      </c>
      <c r="X157" s="29">
        <f t="shared" si="113"/>
        <v>200</v>
      </c>
      <c r="Y157" s="27" t="s">
        <v>69</v>
      </c>
      <c r="Z157" s="27" t="s">
        <v>69</v>
      </c>
      <c r="AA157" s="29">
        <f t="shared" si="93"/>
        <v>3</v>
      </c>
      <c r="AB157" s="29">
        <f t="shared" si="94"/>
        <v>8</v>
      </c>
      <c r="AC157" s="29">
        <f t="shared" si="95"/>
        <v>8</v>
      </c>
      <c r="AD157" s="29" t="str">
        <f t="shared" si="96"/>
        <v/>
      </c>
      <c r="AE157" s="29" t="str">
        <f t="shared" si="97"/>
        <v/>
      </c>
      <c r="AF157" s="29" t="str">
        <f t="shared" si="98"/>
        <v/>
      </c>
      <c r="AG157" s="27">
        <v>11</v>
      </c>
      <c r="AH157" s="27">
        <v>8</v>
      </c>
      <c r="AI157" s="27">
        <v>0</v>
      </c>
      <c r="AJ157" s="23" t="s">
        <v>98</v>
      </c>
      <c r="AK157" s="23" t="s">
        <v>84</v>
      </c>
      <c r="AL157" s="30">
        <v>2</v>
      </c>
      <c r="AM157" s="23" t="s">
        <v>77</v>
      </c>
      <c r="AN157" s="31" t="str">
        <f t="shared" si="89"/>
        <v>4 doors</v>
      </c>
      <c r="AO157" s="23" t="s">
        <v>85</v>
      </c>
      <c r="AP157" s="23" t="s">
        <v>71</v>
      </c>
      <c r="AQ157" s="23" t="s">
        <v>78</v>
      </c>
      <c r="AR157" s="34">
        <f t="shared" si="99"/>
        <v>6502</v>
      </c>
      <c r="AS157" s="23">
        <v>65</v>
      </c>
      <c r="AT157" s="23">
        <v>2</v>
      </c>
      <c r="AU157" s="23">
        <v>0</v>
      </c>
    </row>
    <row r="158" spans="1:47">
      <c r="A158" s="26" t="s">
        <v>73</v>
      </c>
      <c r="B158" s="23" t="s">
        <v>77</v>
      </c>
      <c r="C158" s="23">
        <v>4</v>
      </c>
      <c r="E158" s="23" t="s">
        <v>60</v>
      </c>
      <c r="F158" s="23" t="s">
        <v>7</v>
      </c>
      <c r="G158" s="27">
        <v>2007</v>
      </c>
      <c r="H158" s="27">
        <v>20</v>
      </c>
      <c r="I158" s="27">
        <v>25</v>
      </c>
      <c r="J158" s="27">
        <v>20</v>
      </c>
      <c r="K158" s="27">
        <v>14</v>
      </c>
      <c r="L158" s="27">
        <v>14</v>
      </c>
      <c r="M158" s="27">
        <v>14</v>
      </c>
      <c r="N158" s="27">
        <v>14</v>
      </c>
      <c r="P158" s="28">
        <f t="shared" si="90"/>
        <v>56</v>
      </c>
      <c r="Q158" s="28">
        <f t="shared" si="91"/>
        <v>26.78</v>
      </c>
      <c r="R158" s="28">
        <f t="shared" si="92"/>
        <v>35.260000000000005</v>
      </c>
      <c r="S158" s="27">
        <v>75</v>
      </c>
      <c r="T158" s="29">
        <f t="shared" si="88"/>
        <v>285.60000000000002</v>
      </c>
      <c r="U158" s="27">
        <v>210</v>
      </c>
      <c r="V158" s="27">
        <v>17</v>
      </c>
      <c r="W158" s="27">
        <v>150</v>
      </c>
      <c r="X158" s="29">
        <f t="shared" si="113"/>
        <v>200</v>
      </c>
      <c r="Y158" s="27" t="s">
        <v>102</v>
      </c>
      <c r="Z158" s="27" t="s">
        <v>102</v>
      </c>
      <c r="AA158" s="29">
        <f t="shared" si="93"/>
        <v>3</v>
      </c>
      <c r="AB158" s="29">
        <f t="shared" si="94"/>
        <v>8</v>
      </c>
      <c r="AC158" s="29">
        <f t="shared" si="95"/>
        <v>8</v>
      </c>
      <c r="AD158" s="29" t="str">
        <f t="shared" si="96"/>
        <v/>
      </c>
      <c r="AE158" s="29" t="str">
        <f t="shared" si="97"/>
        <v/>
      </c>
      <c r="AF158" s="29" t="str">
        <f t="shared" si="98"/>
        <v/>
      </c>
      <c r="AG158" s="27">
        <v>11</v>
      </c>
      <c r="AH158" s="27">
        <v>8</v>
      </c>
      <c r="AI158" s="27">
        <v>0</v>
      </c>
      <c r="AJ158" s="23" t="s">
        <v>98</v>
      </c>
      <c r="AK158" s="23" t="s">
        <v>84</v>
      </c>
      <c r="AL158" s="30">
        <v>2</v>
      </c>
      <c r="AM158" s="23" t="s">
        <v>77</v>
      </c>
      <c r="AN158" s="31" t="str">
        <f t="shared" si="89"/>
        <v>4 doors</v>
      </c>
      <c r="AO158" s="23" t="s">
        <v>85</v>
      </c>
      <c r="AP158" s="23" t="s">
        <v>71</v>
      </c>
      <c r="AQ158" s="23" t="s">
        <v>78</v>
      </c>
      <c r="AR158" s="34">
        <f t="shared" si="99"/>
        <v>6502.01</v>
      </c>
      <c r="AS158" s="23">
        <v>65</v>
      </c>
      <c r="AT158" s="23">
        <v>2</v>
      </c>
      <c r="AU158" s="23">
        <v>1</v>
      </c>
    </row>
    <row r="159" spans="1:47">
      <c r="A159" s="26" t="s">
        <v>62</v>
      </c>
      <c r="B159" s="23" t="s">
        <v>54</v>
      </c>
      <c r="C159" s="23">
        <v>3</v>
      </c>
      <c r="E159" s="23" t="s">
        <v>60</v>
      </c>
      <c r="F159" s="23" t="s">
        <v>2</v>
      </c>
      <c r="G159" s="27">
        <v>2012</v>
      </c>
      <c r="H159" s="27">
        <v>20</v>
      </c>
      <c r="I159" s="27">
        <v>25</v>
      </c>
      <c r="J159" s="27">
        <v>20</v>
      </c>
      <c r="K159" s="27">
        <v>14</v>
      </c>
      <c r="L159" s="27">
        <v>14</v>
      </c>
      <c r="M159" s="27">
        <v>14</v>
      </c>
      <c r="P159" s="28">
        <f t="shared" si="90"/>
        <v>42</v>
      </c>
      <c r="Q159" s="28">
        <f t="shared" si="91"/>
        <v>26.18</v>
      </c>
      <c r="R159" s="28">
        <f t="shared" si="92"/>
        <v>40.033333333333339</v>
      </c>
      <c r="S159" s="27">
        <v>80</v>
      </c>
      <c r="T159" s="29">
        <f t="shared" si="88"/>
        <v>353.6</v>
      </c>
      <c r="U159" s="27">
        <v>260</v>
      </c>
      <c r="V159" s="27">
        <v>11</v>
      </c>
      <c r="W159" s="27">
        <v>86</v>
      </c>
      <c r="X159" s="29">
        <f t="shared" si="113"/>
        <v>200</v>
      </c>
      <c r="Y159" s="27" t="s">
        <v>69</v>
      </c>
      <c r="Z159" s="27" t="s">
        <v>315</v>
      </c>
      <c r="AA159" s="29">
        <f t="shared" si="93"/>
        <v>3</v>
      </c>
      <c r="AB159" s="29">
        <f t="shared" si="94"/>
        <v>8</v>
      </c>
      <c r="AC159" s="29" t="str">
        <f t="shared" si="95"/>
        <v/>
      </c>
      <c r="AD159" s="29" t="str">
        <f t="shared" si="96"/>
        <v/>
      </c>
      <c r="AE159" s="29" t="str">
        <f t="shared" si="97"/>
        <v/>
      </c>
      <c r="AF159" s="29" t="str">
        <f t="shared" si="98"/>
        <v/>
      </c>
      <c r="AG159" s="27">
        <v>11</v>
      </c>
      <c r="AH159" s="27">
        <v>0</v>
      </c>
      <c r="AI159" s="27">
        <v>0</v>
      </c>
      <c r="AJ159" s="23" t="s">
        <v>59</v>
      </c>
      <c r="AK159" s="23" t="s">
        <v>63</v>
      </c>
      <c r="AL159" s="30" t="s">
        <v>64</v>
      </c>
      <c r="AM159" s="23" t="s">
        <v>65</v>
      </c>
      <c r="AN159" s="31" t="str">
        <f t="shared" si="89"/>
        <v>3 doors</v>
      </c>
      <c r="AO159" s="23" t="s">
        <v>67</v>
      </c>
      <c r="AP159" s="23" t="s">
        <v>71</v>
      </c>
      <c r="AQ159" s="23" t="s">
        <v>78</v>
      </c>
      <c r="AR159" s="34">
        <f t="shared" si="99"/>
        <v>6504</v>
      </c>
      <c r="AS159" s="23">
        <v>65</v>
      </c>
      <c r="AT159" s="23">
        <v>4</v>
      </c>
      <c r="AU159" s="23">
        <v>0</v>
      </c>
    </row>
    <row r="160" spans="1:47">
      <c r="A160" s="26" t="s">
        <v>62</v>
      </c>
      <c r="B160" s="23" t="s">
        <v>54</v>
      </c>
      <c r="C160" s="23">
        <v>3</v>
      </c>
      <c r="E160" s="23" t="s">
        <v>60</v>
      </c>
      <c r="F160" s="23" t="s">
        <v>2</v>
      </c>
      <c r="G160" s="27">
        <v>2012</v>
      </c>
      <c r="H160" s="27">
        <v>20</v>
      </c>
      <c r="I160" s="27">
        <v>25</v>
      </c>
      <c r="J160" s="27">
        <v>20</v>
      </c>
      <c r="K160" s="27">
        <v>14</v>
      </c>
      <c r="L160" s="27">
        <v>14</v>
      </c>
      <c r="M160" s="27">
        <v>14</v>
      </c>
      <c r="P160" s="28">
        <f t="shared" si="90"/>
        <v>42</v>
      </c>
      <c r="Q160" s="28">
        <f t="shared" si="91"/>
        <v>26.18</v>
      </c>
      <c r="R160" s="28">
        <f t="shared" si="92"/>
        <v>40.033333333333339</v>
      </c>
      <c r="S160" s="27">
        <v>80</v>
      </c>
      <c r="T160" s="29">
        <f t="shared" si="88"/>
        <v>353.6</v>
      </c>
      <c r="U160" s="27">
        <v>260</v>
      </c>
      <c r="V160" s="27">
        <v>11</v>
      </c>
      <c r="W160" s="27">
        <v>86</v>
      </c>
      <c r="X160" s="29">
        <f t="shared" si="113"/>
        <v>200</v>
      </c>
      <c r="Y160" s="27" t="s">
        <v>102</v>
      </c>
      <c r="Z160" s="27" t="s">
        <v>102</v>
      </c>
      <c r="AA160" s="29">
        <f t="shared" si="93"/>
        <v>3</v>
      </c>
      <c r="AB160" s="29">
        <f t="shared" si="94"/>
        <v>8</v>
      </c>
      <c r="AC160" s="29" t="str">
        <f t="shared" si="95"/>
        <v/>
      </c>
      <c r="AD160" s="29" t="str">
        <f t="shared" si="96"/>
        <v/>
      </c>
      <c r="AE160" s="29" t="str">
        <f t="shared" si="97"/>
        <v/>
      </c>
      <c r="AF160" s="29" t="str">
        <f t="shared" si="98"/>
        <v/>
      </c>
      <c r="AG160" s="27">
        <v>11</v>
      </c>
      <c r="AH160" s="27">
        <v>0</v>
      </c>
      <c r="AI160" s="27">
        <v>0</v>
      </c>
      <c r="AJ160" s="23" t="s">
        <v>59</v>
      </c>
      <c r="AK160" s="23" t="s">
        <v>63</v>
      </c>
      <c r="AL160" s="30" t="s">
        <v>64</v>
      </c>
      <c r="AM160" s="23" t="s">
        <v>65</v>
      </c>
      <c r="AN160" s="31" t="str">
        <f t="shared" si="89"/>
        <v>3 doors</v>
      </c>
      <c r="AO160" s="23" t="s">
        <v>67</v>
      </c>
      <c r="AP160" s="23" t="s">
        <v>71</v>
      </c>
      <c r="AQ160" s="23" t="s">
        <v>78</v>
      </c>
      <c r="AR160" s="34">
        <f t="shared" si="99"/>
        <v>6504.01</v>
      </c>
      <c r="AS160" s="23">
        <v>65</v>
      </c>
      <c r="AT160" s="23">
        <v>4</v>
      </c>
      <c r="AU160" s="23">
        <v>1</v>
      </c>
    </row>
    <row r="161" spans="1:47">
      <c r="A161" s="26" t="s">
        <v>62</v>
      </c>
      <c r="B161" s="23" t="s">
        <v>54</v>
      </c>
      <c r="C161" s="23">
        <v>3</v>
      </c>
      <c r="E161" s="23" t="s">
        <v>60</v>
      </c>
      <c r="F161" s="23" t="s">
        <v>2</v>
      </c>
      <c r="G161" s="27">
        <v>2012</v>
      </c>
      <c r="H161" s="27">
        <v>20</v>
      </c>
      <c r="I161" s="27">
        <v>25</v>
      </c>
      <c r="J161" s="27">
        <v>20</v>
      </c>
      <c r="K161" s="27">
        <v>14</v>
      </c>
      <c r="L161" s="27">
        <v>14</v>
      </c>
      <c r="M161" s="27">
        <v>14</v>
      </c>
      <c r="P161" s="28">
        <f t="shared" si="90"/>
        <v>42</v>
      </c>
      <c r="Q161" s="28">
        <f t="shared" si="91"/>
        <v>26.18</v>
      </c>
      <c r="R161" s="28">
        <f t="shared" si="92"/>
        <v>40.033333333333339</v>
      </c>
      <c r="S161" s="27">
        <v>80</v>
      </c>
      <c r="T161" s="29">
        <f t="shared" si="88"/>
        <v>353.6</v>
      </c>
      <c r="U161" s="27">
        <v>260</v>
      </c>
      <c r="V161" s="27">
        <v>11</v>
      </c>
      <c r="W161" s="27">
        <v>86</v>
      </c>
      <c r="X161" s="29">
        <f t="shared" si="113"/>
        <v>200</v>
      </c>
      <c r="Y161" s="27" t="s">
        <v>106</v>
      </c>
      <c r="Z161" s="27" t="s">
        <v>106</v>
      </c>
      <c r="AA161" s="29">
        <f t="shared" si="93"/>
        <v>3</v>
      </c>
      <c r="AB161" s="29">
        <f t="shared" si="94"/>
        <v>8</v>
      </c>
      <c r="AC161" s="29" t="str">
        <f t="shared" si="95"/>
        <v/>
      </c>
      <c r="AD161" s="29" t="str">
        <f t="shared" si="96"/>
        <v/>
      </c>
      <c r="AE161" s="29" t="str">
        <f t="shared" si="97"/>
        <v/>
      </c>
      <c r="AF161" s="29" t="str">
        <f t="shared" si="98"/>
        <v/>
      </c>
      <c r="AG161" s="27">
        <v>11</v>
      </c>
      <c r="AH161" s="27">
        <v>0</v>
      </c>
      <c r="AI161" s="27">
        <v>0</v>
      </c>
      <c r="AJ161" s="23" t="s">
        <v>59</v>
      </c>
      <c r="AK161" s="23" t="s">
        <v>63</v>
      </c>
      <c r="AL161" s="30" t="s">
        <v>64</v>
      </c>
      <c r="AM161" s="23" t="s">
        <v>65</v>
      </c>
      <c r="AN161" s="31" t="str">
        <f t="shared" si="89"/>
        <v>3 doors</v>
      </c>
      <c r="AO161" s="23" t="s">
        <v>67</v>
      </c>
      <c r="AP161" s="23" t="s">
        <v>71</v>
      </c>
      <c r="AQ161" s="23" t="s">
        <v>188</v>
      </c>
      <c r="AR161" s="34">
        <f t="shared" si="99"/>
        <v>6504.02</v>
      </c>
      <c r="AS161" s="23">
        <v>65</v>
      </c>
      <c r="AT161" s="23">
        <v>4</v>
      </c>
      <c r="AU161" s="23">
        <v>2</v>
      </c>
    </row>
    <row r="162" spans="1:47">
      <c r="A162" s="26" t="s">
        <v>75</v>
      </c>
      <c r="B162" s="23" t="s">
        <v>54</v>
      </c>
      <c r="C162" s="23">
        <v>3</v>
      </c>
      <c r="E162" s="23" t="s">
        <v>76</v>
      </c>
      <c r="F162" s="23" t="s">
        <v>21</v>
      </c>
      <c r="G162" s="27">
        <v>2024</v>
      </c>
      <c r="H162" s="27">
        <v>20</v>
      </c>
      <c r="I162" s="27">
        <v>25</v>
      </c>
      <c r="J162" s="27">
        <v>20</v>
      </c>
      <c r="K162" s="27">
        <v>14</v>
      </c>
      <c r="L162" s="27">
        <v>14</v>
      </c>
      <c r="M162" s="27">
        <v>14</v>
      </c>
      <c r="P162" s="28">
        <f t="shared" si="90"/>
        <v>42</v>
      </c>
      <c r="Q162" s="28">
        <f t="shared" si="91"/>
        <v>37.5</v>
      </c>
      <c r="R162" s="28">
        <f t="shared" si="92"/>
        <v>20.880000000000003</v>
      </c>
      <c r="S162" s="27">
        <v>80</v>
      </c>
      <c r="T162" s="29">
        <f t="shared" si="88"/>
        <v>340</v>
      </c>
      <c r="U162" s="27">
        <v>250</v>
      </c>
      <c r="V162" s="27">
        <v>12</v>
      </c>
      <c r="W162" s="27">
        <v>84</v>
      </c>
      <c r="X162" s="29">
        <f t="shared" si="113"/>
        <v>200</v>
      </c>
      <c r="Y162" s="27" t="s">
        <v>69</v>
      </c>
      <c r="Z162" s="27" t="s">
        <v>315</v>
      </c>
      <c r="AA162" s="29">
        <f t="shared" si="93"/>
        <v>3</v>
      </c>
      <c r="AB162" s="29">
        <f t="shared" si="94"/>
        <v>8</v>
      </c>
      <c r="AC162" s="29" t="str">
        <f t="shared" si="95"/>
        <v/>
      </c>
      <c r="AD162" s="29" t="str">
        <f t="shared" si="96"/>
        <v/>
      </c>
      <c r="AE162" s="29" t="str">
        <f t="shared" si="97"/>
        <v/>
      </c>
      <c r="AF162" s="29" t="str">
        <f t="shared" si="98"/>
        <v/>
      </c>
      <c r="AG162" s="27">
        <v>11</v>
      </c>
      <c r="AH162" s="27">
        <v>0</v>
      </c>
      <c r="AI162" s="27">
        <v>0</v>
      </c>
      <c r="AJ162" s="23" t="s">
        <v>59</v>
      </c>
      <c r="AK162" s="23" t="s">
        <v>63</v>
      </c>
      <c r="AL162" s="30" t="s">
        <v>64</v>
      </c>
      <c r="AM162" s="23" t="s">
        <v>65</v>
      </c>
      <c r="AN162" s="31" t="str">
        <f t="shared" si="89"/>
        <v>3 doors</v>
      </c>
      <c r="AO162" s="23" t="s">
        <v>67</v>
      </c>
      <c r="AP162" s="23" t="s">
        <v>71</v>
      </c>
      <c r="AQ162" s="23" t="s">
        <v>78</v>
      </c>
      <c r="AR162" s="34">
        <f t="shared" si="99"/>
        <v>6505</v>
      </c>
      <c r="AS162" s="23">
        <v>65</v>
      </c>
      <c r="AT162" s="23">
        <v>5</v>
      </c>
      <c r="AU162" s="23">
        <v>0</v>
      </c>
    </row>
    <row r="163" spans="1:47">
      <c r="A163" s="26" t="s">
        <v>75</v>
      </c>
      <c r="B163" s="23" t="s">
        <v>54</v>
      </c>
      <c r="C163" s="23">
        <v>3</v>
      </c>
      <c r="E163" s="23" t="s">
        <v>76</v>
      </c>
      <c r="F163" s="23" t="s">
        <v>21</v>
      </c>
      <c r="G163" s="27">
        <v>2024</v>
      </c>
      <c r="H163" s="27">
        <v>20</v>
      </c>
      <c r="I163" s="27">
        <v>25</v>
      </c>
      <c r="J163" s="27">
        <v>20</v>
      </c>
      <c r="K163" s="27">
        <v>14</v>
      </c>
      <c r="L163" s="27">
        <v>14</v>
      </c>
      <c r="M163" s="27">
        <v>14</v>
      </c>
      <c r="P163" s="28">
        <f t="shared" si="90"/>
        <v>42</v>
      </c>
      <c r="Q163" s="28">
        <f t="shared" si="91"/>
        <v>37.5</v>
      </c>
      <c r="R163" s="28">
        <f t="shared" si="92"/>
        <v>20.880000000000003</v>
      </c>
      <c r="S163" s="27">
        <v>80</v>
      </c>
      <c r="T163" s="29">
        <f t="shared" ref="T163:T194" si="114">U163*1.36</f>
        <v>340</v>
      </c>
      <c r="U163" s="27">
        <v>250</v>
      </c>
      <c r="V163" s="27">
        <v>12</v>
      </c>
      <c r="W163" s="27">
        <v>84</v>
      </c>
      <c r="X163" s="29">
        <f t="shared" si="113"/>
        <v>200</v>
      </c>
      <c r="Y163" s="27" t="s">
        <v>102</v>
      </c>
      <c r="Z163" s="27" t="s">
        <v>102</v>
      </c>
      <c r="AA163" s="29">
        <f t="shared" si="93"/>
        <v>3</v>
      </c>
      <c r="AB163" s="29">
        <f t="shared" si="94"/>
        <v>8</v>
      </c>
      <c r="AC163" s="29" t="str">
        <f t="shared" si="95"/>
        <v/>
      </c>
      <c r="AD163" s="29" t="str">
        <f t="shared" si="96"/>
        <v/>
      </c>
      <c r="AE163" s="29" t="str">
        <f t="shared" si="97"/>
        <v/>
      </c>
      <c r="AF163" s="29" t="str">
        <f t="shared" si="98"/>
        <v/>
      </c>
      <c r="AG163" s="27">
        <v>11</v>
      </c>
      <c r="AH163" s="27">
        <v>0</v>
      </c>
      <c r="AI163" s="27">
        <v>0</v>
      </c>
      <c r="AJ163" s="23" t="s">
        <v>59</v>
      </c>
      <c r="AK163" s="23" t="s">
        <v>63</v>
      </c>
      <c r="AL163" s="30" t="s">
        <v>64</v>
      </c>
      <c r="AM163" s="23" t="s">
        <v>65</v>
      </c>
      <c r="AN163" s="31" t="str">
        <f t="shared" ref="AN163:AN194" si="115">IF(O163&gt;0, "5 doors", IF(N163&gt;0, "4 doors", IF(M163&gt;0, "3 doors", IF(L163&gt;0, "2 doors", "1 door"))))</f>
        <v>3 doors</v>
      </c>
      <c r="AO163" s="23" t="s">
        <v>67</v>
      </c>
      <c r="AP163" s="23" t="s">
        <v>71</v>
      </c>
      <c r="AQ163" s="23" t="s">
        <v>78</v>
      </c>
      <c r="AR163" s="34">
        <f t="shared" si="99"/>
        <v>6505.01</v>
      </c>
      <c r="AS163" s="23">
        <v>65</v>
      </c>
      <c r="AT163" s="23">
        <v>5</v>
      </c>
      <c r="AU163" s="23">
        <v>1</v>
      </c>
    </row>
    <row r="164" spans="1:47">
      <c r="A164" s="26" t="s">
        <v>62</v>
      </c>
      <c r="B164" s="23" t="s">
        <v>54</v>
      </c>
      <c r="C164" s="23">
        <v>2</v>
      </c>
      <c r="E164" s="23" t="s">
        <v>60</v>
      </c>
      <c r="F164" s="23" t="s">
        <v>3</v>
      </c>
      <c r="G164" s="27">
        <v>2012</v>
      </c>
      <c r="H164" s="27">
        <v>20</v>
      </c>
      <c r="I164" s="27">
        <v>25</v>
      </c>
      <c r="J164" s="27">
        <v>20</v>
      </c>
      <c r="K164" s="27">
        <v>14</v>
      </c>
      <c r="L164" s="27">
        <v>14</v>
      </c>
      <c r="P164" s="28">
        <f t="shared" si="90"/>
        <v>28</v>
      </c>
      <c r="Q164" s="28">
        <f t="shared" si="91"/>
        <v>25.18</v>
      </c>
      <c r="R164" s="28">
        <f t="shared" si="92"/>
        <v>39.033333333333339</v>
      </c>
      <c r="S164" s="27">
        <v>80</v>
      </c>
      <c r="T164" s="29">
        <f t="shared" si="114"/>
        <v>353.6</v>
      </c>
      <c r="U164" s="27">
        <v>260</v>
      </c>
      <c r="V164" s="27">
        <v>11</v>
      </c>
      <c r="W164" s="27">
        <v>86</v>
      </c>
      <c r="X164" s="29">
        <f t="shared" si="113"/>
        <v>200</v>
      </c>
      <c r="Y164" s="27" t="s">
        <v>69</v>
      </c>
      <c r="Z164" s="27" t="s">
        <v>315</v>
      </c>
      <c r="AA164" s="29">
        <f t="shared" si="93"/>
        <v>3</v>
      </c>
      <c r="AB164" s="29">
        <f t="shared" si="94"/>
        <v>8</v>
      </c>
      <c r="AC164" s="29" t="str">
        <f t="shared" si="95"/>
        <v/>
      </c>
      <c r="AD164" s="29" t="str">
        <f t="shared" si="96"/>
        <v/>
      </c>
      <c r="AE164" s="29" t="str">
        <f t="shared" si="97"/>
        <v/>
      </c>
      <c r="AF164" s="29" t="str">
        <f t="shared" si="98"/>
        <v/>
      </c>
      <c r="AG164" s="27">
        <v>11</v>
      </c>
      <c r="AH164" s="27">
        <v>0</v>
      </c>
      <c r="AI164" s="27">
        <v>0</v>
      </c>
      <c r="AJ164" s="23" t="s">
        <v>59</v>
      </c>
      <c r="AK164" s="23" t="s">
        <v>63</v>
      </c>
      <c r="AL164" s="30" t="s">
        <v>64</v>
      </c>
      <c r="AM164" s="23" t="s">
        <v>65</v>
      </c>
      <c r="AN164" s="31" t="str">
        <f t="shared" si="115"/>
        <v>2 doors</v>
      </c>
      <c r="AO164" s="23" t="s">
        <v>67</v>
      </c>
      <c r="AP164" s="23" t="s">
        <v>71</v>
      </c>
      <c r="AQ164" s="23" t="s">
        <v>78</v>
      </c>
      <c r="AR164" s="34">
        <f t="shared" si="99"/>
        <v>6506</v>
      </c>
      <c r="AS164" s="23">
        <v>65</v>
      </c>
      <c r="AT164" s="23">
        <v>6</v>
      </c>
      <c r="AU164" s="23">
        <v>0</v>
      </c>
    </row>
    <row r="165" spans="1:47">
      <c r="A165" s="26" t="s">
        <v>62</v>
      </c>
      <c r="B165" s="23" t="s">
        <v>54</v>
      </c>
      <c r="C165" s="23">
        <v>2</v>
      </c>
      <c r="E165" s="23" t="s">
        <v>60</v>
      </c>
      <c r="F165" s="23" t="s">
        <v>3</v>
      </c>
      <c r="G165" s="27">
        <v>2012</v>
      </c>
      <c r="H165" s="27">
        <v>20</v>
      </c>
      <c r="I165" s="27">
        <v>25</v>
      </c>
      <c r="J165" s="27">
        <v>20</v>
      </c>
      <c r="K165" s="27">
        <v>14</v>
      </c>
      <c r="L165" s="27">
        <v>14</v>
      </c>
      <c r="P165" s="28">
        <f t="shared" si="90"/>
        <v>28</v>
      </c>
      <c r="Q165" s="28">
        <f t="shared" si="91"/>
        <v>25.18</v>
      </c>
      <c r="R165" s="28">
        <f t="shared" si="92"/>
        <v>39.033333333333339</v>
      </c>
      <c r="S165" s="27">
        <v>80</v>
      </c>
      <c r="T165" s="29">
        <f t="shared" si="114"/>
        <v>353.6</v>
      </c>
      <c r="U165" s="27">
        <v>260</v>
      </c>
      <c r="V165" s="27">
        <v>11</v>
      </c>
      <c r="W165" s="27">
        <v>86</v>
      </c>
      <c r="X165" s="29">
        <f t="shared" si="113"/>
        <v>200</v>
      </c>
      <c r="Y165" s="27" t="s">
        <v>102</v>
      </c>
      <c r="Z165" s="27" t="s">
        <v>102</v>
      </c>
      <c r="AA165" s="29">
        <f t="shared" si="93"/>
        <v>3</v>
      </c>
      <c r="AB165" s="29">
        <f t="shared" si="94"/>
        <v>8</v>
      </c>
      <c r="AC165" s="29" t="str">
        <f t="shared" si="95"/>
        <v/>
      </c>
      <c r="AD165" s="29" t="str">
        <f t="shared" si="96"/>
        <v/>
      </c>
      <c r="AE165" s="29" t="str">
        <f t="shared" si="97"/>
        <v/>
      </c>
      <c r="AF165" s="29" t="str">
        <f t="shared" si="98"/>
        <v/>
      </c>
      <c r="AG165" s="27">
        <v>11</v>
      </c>
      <c r="AH165" s="27">
        <v>0</v>
      </c>
      <c r="AI165" s="27">
        <v>0</v>
      </c>
      <c r="AJ165" s="23" t="s">
        <v>59</v>
      </c>
      <c r="AK165" s="23" t="s">
        <v>63</v>
      </c>
      <c r="AL165" s="30" t="s">
        <v>64</v>
      </c>
      <c r="AM165" s="23" t="s">
        <v>65</v>
      </c>
      <c r="AN165" s="31" t="str">
        <f t="shared" si="115"/>
        <v>2 doors</v>
      </c>
      <c r="AO165" s="23" t="s">
        <v>67</v>
      </c>
      <c r="AP165" s="23" t="s">
        <v>71</v>
      </c>
      <c r="AQ165" s="23" t="s">
        <v>78</v>
      </c>
      <c r="AR165" s="34">
        <f t="shared" si="99"/>
        <v>6506.01</v>
      </c>
      <c r="AS165" s="23">
        <v>65</v>
      </c>
      <c r="AT165" s="23">
        <v>6</v>
      </c>
      <c r="AU165" s="23">
        <v>1</v>
      </c>
    </row>
    <row r="166" spans="1:47">
      <c r="A166" s="26" t="s">
        <v>75</v>
      </c>
      <c r="B166" s="23" t="s">
        <v>54</v>
      </c>
      <c r="C166" s="23">
        <v>2</v>
      </c>
      <c r="E166" s="23" t="s">
        <v>76</v>
      </c>
      <c r="F166" s="23" t="s">
        <v>22</v>
      </c>
      <c r="G166" s="27">
        <v>2024</v>
      </c>
      <c r="H166" s="27">
        <v>20</v>
      </c>
      <c r="I166" s="27">
        <v>25</v>
      </c>
      <c r="J166" s="27">
        <v>20</v>
      </c>
      <c r="K166" s="27">
        <v>14</v>
      </c>
      <c r="L166" s="27">
        <v>14</v>
      </c>
      <c r="P166" s="28">
        <f t="shared" si="90"/>
        <v>28</v>
      </c>
      <c r="Q166" s="28">
        <f t="shared" si="91"/>
        <v>36.5</v>
      </c>
      <c r="R166" s="28">
        <f t="shared" si="92"/>
        <v>19.880000000000003</v>
      </c>
      <c r="S166" s="27">
        <v>80</v>
      </c>
      <c r="T166" s="29">
        <f t="shared" si="114"/>
        <v>340</v>
      </c>
      <c r="U166" s="27">
        <v>250</v>
      </c>
      <c r="V166" s="27">
        <v>12</v>
      </c>
      <c r="W166" s="27">
        <v>84</v>
      </c>
      <c r="X166" s="29">
        <f t="shared" si="113"/>
        <v>200</v>
      </c>
      <c r="Y166" s="27" t="s">
        <v>69</v>
      </c>
      <c r="Z166" s="27" t="s">
        <v>315</v>
      </c>
      <c r="AA166" s="29">
        <f t="shared" si="93"/>
        <v>3</v>
      </c>
      <c r="AB166" s="29">
        <f t="shared" si="94"/>
        <v>8</v>
      </c>
      <c r="AC166" s="29" t="str">
        <f t="shared" si="95"/>
        <v/>
      </c>
      <c r="AD166" s="29" t="str">
        <f t="shared" si="96"/>
        <v/>
      </c>
      <c r="AE166" s="29" t="str">
        <f t="shared" si="97"/>
        <v/>
      </c>
      <c r="AF166" s="29" t="str">
        <f t="shared" si="98"/>
        <v/>
      </c>
      <c r="AG166" s="27">
        <v>11</v>
      </c>
      <c r="AH166" s="27">
        <v>0</v>
      </c>
      <c r="AI166" s="27">
        <v>0</v>
      </c>
      <c r="AJ166" s="23" t="s">
        <v>59</v>
      </c>
      <c r="AK166" s="23" t="s">
        <v>63</v>
      </c>
      <c r="AL166" s="30" t="s">
        <v>64</v>
      </c>
      <c r="AM166" s="23" t="s">
        <v>65</v>
      </c>
      <c r="AN166" s="31" t="str">
        <f t="shared" si="115"/>
        <v>2 doors</v>
      </c>
      <c r="AO166" s="23" t="s">
        <v>67</v>
      </c>
      <c r="AP166" s="23" t="s">
        <v>71</v>
      </c>
      <c r="AQ166" s="23" t="s">
        <v>78</v>
      </c>
      <c r="AR166" s="34">
        <f t="shared" si="99"/>
        <v>6507</v>
      </c>
      <c r="AS166" s="23">
        <v>65</v>
      </c>
      <c r="AT166" s="23">
        <v>7</v>
      </c>
      <c r="AU166" s="23">
        <v>0</v>
      </c>
    </row>
    <row r="167" spans="1:47">
      <c r="A167" s="26" t="s">
        <v>75</v>
      </c>
      <c r="B167" s="23" t="s">
        <v>54</v>
      </c>
      <c r="C167" s="23">
        <v>2</v>
      </c>
      <c r="E167" s="23" t="s">
        <v>76</v>
      </c>
      <c r="F167" s="23" t="s">
        <v>22</v>
      </c>
      <c r="G167" s="27">
        <v>2024</v>
      </c>
      <c r="H167" s="27">
        <v>20</v>
      </c>
      <c r="I167" s="27">
        <v>25</v>
      </c>
      <c r="J167" s="27">
        <v>20</v>
      </c>
      <c r="K167" s="27">
        <v>14</v>
      </c>
      <c r="L167" s="27">
        <v>14</v>
      </c>
      <c r="P167" s="28">
        <f t="shared" si="90"/>
        <v>28</v>
      </c>
      <c r="Q167" s="28">
        <f t="shared" si="91"/>
        <v>36.5</v>
      </c>
      <c r="R167" s="28">
        <f t="shared" si="92"/>
        <v>19.880000000000003</v>
      </c>
      <c r="S167" s="27">
        <v>80</v>
      </c>
      <c r="T167" s="29">
        <f t="shared" si="114"/>
        <v>340</v>
      </c>
      <c r="U167" s="27">
        <v>250</v>
      </c>
      <c r="V167" s="27">
        <v>12</v>
      </c>
      <c r="W167" s="27">
        <v>84</v>
      </c>
      <c r="X167" s="29">
        <f t="shared" si="113"/>
        <v>200</v>
      </c>
      <c r="Y167" s="27" t="s">
        <v>102</v>
      </c>
      <c r="Z167" s="27" t="s">
        <v>102</v>
      </c>
      <c r="AA167" s="29">
        <f t="shared" si="93"/>
        <v>3</v>
      </c>
      <c r="AB167" s="29">
        <f t="shared" si="94"/>
        <v>8</v>
      </c>
      <c r="AC167" s="29" t="str">
        <f t="shared" si="95"/>
        <v/>
      </c>
      <c r="AD167" s="29" t="str">
        <f t="shared" si="96"/>
        <v/>
      </c>
      <c r="AE167" s="29" t="str">
        <f t="shared" si="97"/>
        <v/>
      </c>
      <c r="AF167" s="29" t="str">
        <f t="shared" si="98"/>
        <v/>
      </c>
      <c r="AG167" s="27">
        <v>11</v>
      </c>
      <c r="AH167" s="27">
        <v>0</v>
      </c>
      <c r="AI167" s="27">
        <v>0</v>
      </c>
      <c r="AJ167" s="23" t="s">
        <v>59</v>
      </c>
      <c r="AK167" s="23" t="s">
        <v>63</v>
      </c>
      <c r="AL167" s="30" t="s">
        <v>64</v>
      </c>
      <c r="AM167" s="23" t="s">
        <v>65</v>
      </c>
      <c r="AN167" s="31" t="str">
        <f t="shared" si="115"/>
        <v>2 doors</v>
      </c>
      <c r="AO167" s="23" t="s">
        <v>67</v>
      </c>
      <c r="AP167" s="23" t="s">
        <v>71</v>
      </c>
      <c r="AQ167" s="23" t="s">
        <v>78</v>
      </c>
      <c r="AR167" s="34">
        <f t="shared" si="99"/>
        <v>6507.01</v>
      </c>
      <c r="AS167" s="23">
        <v>65</v>
      </c>
      <c r="AT167" s="23">
        <v>7</v>
      </c>
      <c r="AU167" s="23">
        <v>1</v>
      </c>
    </row>
    <row r="168" spans="1:47">
      <c r="A168" s="26" t="s">
        <v>62</v>
      </c>
      <c r="B168" s="23" t="s">
        <v>55</v>
      </c>
      <c r="C168" s="23">
        <v>3</v>
      </c>
      <c r="E168" s="23" t="s">
        <v>60</v>
      </c>
      <c r="F168" s="23" t="s">
        <v>4</v>
      </c>
      <c r="G168" s="27">
        <v>2012</v>
      </c>
      <c r="H168" s="27">
        <v>20</v>
      </c>
      <c r="I168" s="27">
        <v>25</v>
      </c>
      <c r="J168" s="27">
        <v>20</v>
      </c>
      <c r="K168" s="27">
        <v>14</v>
      </c>
      <c r="L168" s="27">
        <v>14</v>
      </c>
      <c r="M168" s="27">
        <v>14</v>
      </c>
      <c r="P168" s="28">
        <f t="shared" si="90"/>
        <v>42</v>
      </c>
      <c r="Q168" s="28">
        <f t="shared" si="91"/>
        <v>26.68</v>
      </c>
      <c r="R168" s="28">
        <f t="shared" si="92"/>
        <v>40.266666666666666</v>
      </c>
      <c r="S168" s="27">
        <v>80</v>
      </c>
      <c r="T168" s="29">
        <f t="shared" si="114"/>
        <v>353.6</v>
      </c>
      <c r="U168" s="27">
        <v>260</v>
      </c>
      <c r="V168" s="27">
        <v>12</v>
      </c>
      <c r="W168" s="27">
        <v>106</v>
      </c>
      <c r="X168" s="29">
        <f t="shared" si="113"/>
        <v>200</v>
      </c>
      <c r="Y168" s="27" t="s">
        <v>69</v>
      </c>
      <c r="Z168" s="27" t="s">
        <v>315</v>
      </c>
      <c r="AA168" s="29">
        <f t="shared" si="93"/>
        <v>5</v>
      </c>
      <c r="AB168" s="29">
        <f t="shared" si="94"/>
        <v>8</v>
      </c>
      <c r="AC168" s="29" t="str">
        <f t="shared" si="95"/>
        <v/>
      </c>
      <c r="AD168" s="29" t="str">
        <f t="shared" si="96"/>
        <v/>
      </c>
      <c r="AE168" s="29" t="str">
        <f t="shared" si="97"/>
        <v/>
      </c>
      <c r="AF168" s="29" t="str">
        <f t="shared" si="98"/>
        <v/>
      </c>
      <c r="AG168" s="27">
        <v>13</v>
      </c>
      <c r="AH168" s="27">
        <v>0</v>
      </c>
      <c r="AI168" s="27">
        <v>0</v>
      </c>
      <c r="AJ168" s="23" t="s">
        <v>59</v>
      </c>
      <c r="AK168" s="23" t="s">
        <v>63</v>
      </c>
      <c r="AL168" s="30" t="s">
        <v>64</v>
      </c>
      <c r="AN168" s="31" t="str">
        <f t="shared" si="115"/>
        <v>3 doors</v>
      </c>
      <c r="AO168" s="23" t="s">
        <v>66</v>
      </c>
      <c r="AP168" s="23" t="s">
        <v>71</v>
      </c>
      <c r="AQ168" s="23" t="s">
        <v>78</v>
      </c>
      <c r="AR168" s="34">
        <f t="shared" si="99"/>
        <v>6508</v>
      </c>
      <c r="AS168" s="23">
        <v>65</v>
      </c>
      <c r="AT168" s="23">
        <v>8</v>
      </c>
      <c r="AU168" s="23">
        <v>0</v>
      </c>
    </row>
    <row r="169" spans="1:47">
      <c r="A169" s="26" t="s">
        <v>62</v>
      </c>
      <c r="B169" s="23" t="s">
        <v>55</v>
      </c>
      <c r="C169" s="23">
        <v>3</v>
      </c>
      <c r="E169" s="23" t="s">
        <v>60</v>
      </c>
      <c r="F169" s="23" t="s">
        <v>4</v>
      </c>
      <c r="G169" s="27">
        <v>2012</v>
      </c>
      <c r="H169" s="27">
        <v>20</v>
      </c>
      <c r="I169" s="27">
        <v>25</v>
      </c>
      <c r="J169" s="27">
        <v>20</v>
      </c>
      <c r="K169" s="27">
        <v>14</v>
      </c>
      <c r="L169" s="27">
        <v>14</v>
      </c>
      <c r="M169" s="27">
        <v>14</v>
      </c>
      <c r="P169" s="28">
        <f t="shared" si="90"/>
        <v>42</v>
      </c>
      <c r="Q169" s="28">
        <f t="shared" si="91"/>
        <v>26.68</v>
      </c>
      <c r="R169" s="28">
        <f t="shared" si="92"/>
        <v>40.266666666666666</v>
      </c>
      <c r="S169" s="27">
        <v>80</v>
      </c>
      <c r="T169" s="29">
        <f t="shared" si="114"/>
        <v>353.6</v>
      </c>
      <c r="U169" s="27">
        <v>260</v>
      </c>
      <c r="V169" s="27">
        <v>12</v>
      </c>
      <c r="W169" s="27">
        <v>106</v>
      </c>
      <c r="X169" s="29">
        <f t="shared" si="113"/>
        <v>200</v>
      </c>
      <c r="Y169" s="27" t="s">
        <v>102</v>
      </c>
      <c r="Z169" s="27" t="s">
        <v>102</v>
      </c>
      <c r="AA169" s="29">
        <f t="shared" si="93"/>
        <v>5</v>
      </c>
      <c r="AB169" s="29">
        <f t="shared" si="94"/>
        <v>8</v>
      </c>
      <c r="AC169" s="29" t="str">
        <f t="shared" si="95"/>
        <v/>
      </c>
      <c r="AD169" s="29" t="str">
        <f t="shared" si="96"/>
        <v/>
      </c>
      <c r="AE169" s="29" t="str">
        <f t="shared" si="97"/>
        <v/>
      </c>
      <c r="AF169" s="29" t="str">
        <f t="shared" si="98"/>
        <v/>
      </c>
      <c r="AG169" s="27">
        <v>13</v>
      </c>
      <c r="AH169" s="27">
        <v>0</v>
      </c>
      <c r="AI169" s="27">
        <v>0</v>
      </c>
      <c r="AJ169" s="23" t="s">
        <v>59</v>
      </c>
      <c r="AK169" s="23" t="s">
        <v>63</v>
      </c>
      <c r="AL169" s="30" t="s">
        <v>64</v>
      </c>
      <c r="AN169" s="31" t="str">
        <f t="shared" si="115"/>
        <v>3 doors</v>
      </c>
      <c r="AO169" s="23" t="s">
        <v>66</v>
      </c>
      <c r="AP169" s="23" t="s">
        <v>71</v>
      </c>
      <c r="AQ169" s="23" t="s">
        <v>78</v>
      </c>
      <c r="AR169" s="34">
        <f t="shared" si="99"/>
        <v>6508.01</v>
      </c>
      <c r="AS169" s="23">
        <v>65</v>
      </c>
      <c r="AT169" s="23">
        <v>8</v>
      </c>
      <c r="AU169" s="23">
        <v>1</v>
      </c>
    </row>
    <row r="170" spans="1:47">
      <c r="A170" s="26" t="s">
        <v>62</v>
      </c>
      <c r="B170" s="23" t="s">
        <v>55</v>
      </c>
      <c r="C170" s="23">
        <v>3</v>
      </c>
      <c r="E170" s="23" t="s">
        <v>60</v>
      </c>
      <c r="F170" s="23" t="s">
        <v>4</v>
      </c>
      <c r="G170" s="27">
        <v>2012</v>
      </c>
      <c r="H170" s="27">
        <v>20</v>
      </c>
      <c r="I170" s="27">
        <v>25</v>
      </c>
      <c r="J170" s="27">
        <v>20</v>
      </c>
      <c r="K170" s="27">
        <v>14</v>
      </c>
      <c r="L170" s="27">
        <v>14</v>
      </c>
      <c r="M170" s="27">
        <v>14</v>
      </c>
      <c r="P170" s="28">
        <f t="shared" si="90"/>
        <v>42</v>
      </c>
      <c r="Q170" s="28">
        <f t="shared" si="91"/>
        <v>26.68</v>
      </c>
      <c r="R170" s="28">
        <f t="shared" si="92"/>
        <v>40.266666666666666</v>
      </c>
      <c r="S170" s="27">
        <v>80</v>
      </c>
      <c r="T170" s="29">
        <f t="shared" si="114"/>
        <v>353.6</v>
      </c>
      <c r="U170" s="27">
        <v>260</v>
      </c>
      <c r="V170" s="27">
        <v>12</v>
      </c>
      <c r="W170" s="27">
        <v>106</v>
      </c>
      <c r="X170" s="29">
        <f t="shared" si="113"/>
        <v>200</v>
      </c>
      <c r="Y170" s="27" t="s">
        <v>114</v>
      </c>
      <c r="Z170" s="27" t="s">
        <v>114</v>
      </c>
      <c r="AA170" s="29">
        <f t="shared" si="93"/>
        <v>5</v>
      </c>
      <c r="AB170" s="29">
        <f t="shared" si="94"/>
        <v>8</v>
      </c>
      <c r="AC170" s="29" t="str">
        <f t="shared" si="95"/>
        <v/>
      </c>
      <c r="AD170" s="29" t="str">
        <f t="shared" si="96"/>
        <v/>
      </c>
      <c r="AE170" s="29" t="str">
        <f t="shared" si="97"/>
        <v/>
      </c>
      <c r="AF170" s="29" t="str">
        <f t="shared" si="98"/>
        <v/>
      </c>
      <c r="AG170" s="27">
        <v>13</v>
      </c>
      <c r="AH170" s="27">
        <v>0</v>
      </c>
      <c r="AI170" s="27">
        <v>0</v>
      </c>
      <c r="AJ170" s="23" t="s">
        <v>59</v>
      </c>
      <c r="AK170" s="23" t="s">
        <v>63</v>
      </c>
      <c r="AL170" s="30" t="s">
        <v>64</v>
      </c>
      <c r="AN170" s="31" t="str">
        <f t="shared" si="115"/>
        <v>3 doors</v>
      </c>
      <c r="AO170" s="23" t="s">
        <v>66</v>
      </c>
      <c r="AP170" s="23" t="s">
        <v>71</v>
      </c>
      <c r="AQ170" s="23" t="s">
        <v>188</v>
      </c>
      <c r="AR170" s="34">
        <f t="shared" si="99"/>
        <v>6508.02</v>
      </c>
      <c r="AS170" s="23">
        <v>65</v>
      </c>
      <c r="AT170" s="23">
        <v>8</v>
      </c>
      <c r="AU170" s="23">
        <v>2</v>
      </c>
    </row>
    <row r="171" spans="1:47">
      <c r="A171" s="26" t="s">
        <v>62</v>
      </c>
      <c r="B171" s="23" t="s">
        <v>55</v>
      </c>
      <c r="C171" s="23">
        <v>3</v>
      </c>
      <c r="E171" s="23" t="s">
        <v>60</v>
      </c>
      <c r="F171" s="23" t="s">
        <v>4</v>
      </c>
      <c r="G171" s="27">
        <v>2012</v>
      </c>
      <c r="H171" s="27">
        <v>20</v>
      </c>
      <c r="I171" s="27">
        <v>25</v>
      </c>
      <c r="J171" s="27">
        <v>20</v>
      </c>
      <c r="K171" s="27">
        <v>14</v>
      </c>
      <c r="L171" s="27">
        <v>14</v>
      </c>
      <c r="M171" s="27">
        <v>14</v>
      </c>
      <c r="P171" s="28">
        <f t="shared" si="90"/>
        <v>42</v>
      </c>
      <c r="Q171" s="28">
        <f t="shared" si="91"/>
        <v>26.68</v>
      </c>
      <c r="R171" s="28">
        <f t="shared" si="92"/>
        <v>40.266666666666666</v>
      </c>
      <c r="S171" s="27">
        <v>80</v>
      </c>
      <c r="T171" s="29">
        <f t="shared" si="114"/>
        <v>353.6</v>
      </c>
      <c r="U171" s="27">
        <v>260</v>
      </c>
      <c r="V171" s="27">
        <v>12</v>
      </c>
      <c r="W171" s="27">
        <v>106</v>
      </c>
      <c r="X171" s="29">
        <f t="shared" si="113"/>
        <v>200</v>
      </c>
      <c r="Y171" s="27" t="s">
        <v>103</v>
      </c>
      <c r="Z171" s="27" t="s">
        <v>164</v>
      </c>
      <c r="AA171" s="29">
        <f t="shared" si="93"/>
        <v>5</v>
      </c>
      <c r="AB171" s="29">
        <f t="shared" si="94"/>
        <v>8</v>
      </c>
      <c r="AC171" s="29" t="str">
        <f t="shared" si="95"/>
        <v/>
      </c>
      <c r="AD171" s="29" t="str">
        <f t="shared" si="96"/>
        <v/>
      </c>
      <c r="AE171" s="29" t="str">
        <f t="shared" si="97"/>
        <v/>
      </c>
      <c r="AF171" s="29" t="str">
        <f t="shared" si="98"/>
        <v/>
      </c>
      <c r="AG171" s="27">
        <v>13</v>
      </c>
      <c r="AH171" s="27">
        <v>0</v>
      </c>
      <c r="AI171" s="27">
        <v>0</v>
      </c>
      <c r="AJ171" s="23" t="s">
        <v>59</v>
      </c>
      <c r="AK171" s="23" t="s">
        <v>63</v>
      </c>
      <c r="AL171" s="30" t="s">
        <v>64</v>
      </c>
      <c r="AN171" s="31" t="str">
        <f t="shared" si="115"/>
        <v>3 doors</v>
      </c>
      <c r="AO171" s="23" t="s">
        <v>66</v>
      </c>
      <c r="AP171" s="23" t="s">
        <v>71</v>
      </c>
      <c r="AQ171" s="23" t="s">
        <v>188</v>
      </c>
      <c r="AR171" s="34">
        <f t="shared" si="99"/>
        <v>6508.03</v>
      </c>
      <c r="AS171" s="23">
        <v>65</v>
      </c>
      <c r="AT171" s="23">
        <v>8</v>
      </c>
      <c r="AU171" s="23">
        <v>3</v>
      </c>
    </row>
    <row r="172" spans="1:47">
      <c r="A172" s="26" t="s">
        <v>62</v>
      </c>
      <c r="B172" s="23" t="s">
        <v>55</v>
      </c>
      <c r="C172" s="23">
        <v>3</v>
      </c>
      <c r="E172" s="23" t="s">
        <v>60</v>
      </c>
      <c r="F172" s="23" t="s">
        <v>4</v>
      </c>
      <c r="G172" s="27">
        <v>2012</v>
      </c>
      <c r="H172" s="27">
        <v>20</v>
      </c>
      <c r="I172" s="27">
        <v>25</v>
      </c>
      <c r="J172" s="27">
        <v>20</v>
      </c>
      <c r="K172" s="27">
        <v>14</v>
      </c>
      <c r="L172" s="27">
        <v>14</v>
      </c>
      <c r="M172" s="27">
        <v>14</v>
      </c>
      <c r="P172" s="28">
        <f t="shared" si="90"/>
        <v>42</v>
      </c>
      <c r="Q172" s="28">
        <f t="shared" si="91"/>
        <v>26.68</v>
      </c>
      <c r="R172" s="28">
        <f t="shared" si="92"/>
        <v>40.266666666666666</v>
      </c>
      <c r="S172" s="27">
        <v>80</v>
      </c>
      <c r="T172" s="29">
        <f t="shared" si="114"/>
        <v>353.6</v>
      </c>
      <c r="U172" s="27">
        <v>260</v>
      </c>
      <c r="V172" s="27">
        <v>12</v>
      </c>
      <c r="W172" s="27">
        <v>106</v>
      </c>
      <c r="X172" s="29">
        <f t="shared" si="113"/>
        <v>200</v>
      </c>
      <c r="Y172" s="27" t="s">
        <v>104</v>
      </c>
      <c r="Z172" s="27" t="s">
        <v>164</v>
      </c>
      <c r="AA172" s="29">
        <f t="shared" si="93"/>
        <v>5</v>
      </c>
      <c r="AB172" s="29">
        <f t="shared" si="94"/>
        <v>8</v>
      </c>
      <c r="AC172" s="29" t="str">
        <f t="shared" si="95"/>
        <v/>
      </c>
      <c r="AD172" s="29" t="str">
        <f t="shared" si="96"/>
        <v/>
      </c>
      <c r="AE172" s="29" t="str">
        <f t="shared" si="97"/>
        <v/>
      </c>
      <c r="AF172" s="29" t="str">
        <f t="shared" si="98"/>
        <v/>
      </c>
      <c r="AG172" s="27">
        <v>13</v>
      </c>
      <c r="AH172" s="27">
        <v>0</v>
      </c>
      <c r="AI172" s="27">
        <v>0</v>
      </c>
      <c r="AJ172" s="23" t="s">
        <v>59</v>
      </c>
      <c r="AK172" s="23" t="s">
        <v>63</v>
      </c>
      <c r="AL172" s="30" t="s">
        <v>64</v>
      </c>
      <c r="AN172" s="31" t="str">
        <f t="shared" si="115"/>
        <v>3 doors</v>
      </c>
      <c r="AO172" s="23" t="s">
        <v>66</v>
      </c>
      <c r="AP172" s="23" t="s">
        <v>71</v>
      </c>
      <c r="AQ172" s="23" t="s">
        <v>188</v>
      </c>
      <c r="AR172" s="34">
        <f t="shared" si="99"/>
        <v>6508.04</v>
      </c>
      <c r="AS172" s="23">
        <v>65</v>
      </c>
      <c r="AT172" s="23">
        <v>8</v>
      </c>
      <c r="AU172" s="23">
        <v>4</v>
      </c>
    </row>
    <row r="173" spans="1:47">
      <c r="A173" s="26" t="s">
        <v>62</v>
      </c>
      <c r="B173" s="23" t="s">
        <v>55</v>
      </c>
      <c r="C173" s="23">
        <v>3</v>
      </c>
      <c r="E173" s="23" t="s">
        <v>60</v>
      </c>
      <c r="F173" s="23" t="s">
        <v>4</v>
      </c>
      <c r="G173" s="27">
        <v>2012</v>
      </c>
      <c r="H173" s="27">
        <v>20</v>
      </c>
      <c r="I173" s="27">
        <v>25</v>
      </c>
      <c r="J173" s="27">
        <v>20</v>
      </c>
      <c r="K173" s="27">
        <v>7</v>
      </c>
      <c r="L173" s="27">
        <v>14</v>
      </c>
      <c r="M173" s="27">
        <v>14</v>
      </c>
      <c r="P173" s="28">
        <f t="shared" si="90"/>
        <v>35</v>
      </c>
      <c r="Q173" s="28">
        <f t="shared" si="91"/>
        <v>26.18</v>
      </c>
      <c r="R173" s="28">
        <f t="shared" si="92"/>
        <v>39.766666666666666</v>
      </c>
      <c r="S173" s="27">
        <v>80</v>
      </c>
      <c r="T173" s="29">
        <f t="shared" si="114"/>
        <v>353.6</v>
      </c>
      <c r="U173" s="27">
        <v>260</v>
      </c>
      <c r="V173" s="27">
        <v>12</v>
      </c>
      <c r="W173" s="27">
        <v>106</v>
      </c>
      <c r="X173" s="29">
        <f t="shared" si="113"/>
        <v>200</v>
      </c>
      <c r="Y173" s="27" t="s">
        <v>115</v>
      </c>
      <c r="Z173" s="27" t="s">
        <v>115</v>
      </c>
      <c r="AA173" s="29">
        <f t="shared" si="93"/>
        <v>5</v>
      </c>
      <c r="AB173" s="29">
        <f t="shared" si="94"/>
        <v>8</v>
      </c>
      <c r="AC173" s="29" t="str">
        <f t="shared" si="95"/>
        <v/>
      </c>
      <c r="AD173" s="29" t="str">
        <f t="shared" si="96"/>
        <v/>
      </c>
      <c r="AE173" s="29" t="str">
        <f t="shared" si="97"/>
        <v/>
      </c>
      <c r="AF173" s="29" t="str">
        <f t="shared" si="98"/>
        <v/>
      </c>
      <c r="AG173" s="27">
        <v>13</v>
      </c>
      <c r="AH173" s="27">
        <v>0</v>
      </c>
      <c r="AI173" s="27">
        <v>0</v>
      </c>
      <c r="AJ173" s="23" t="s">
        <v>59</v>
      </c>
      <c r="AK173" s="23" t="s">
        <v>63</v>
      </c>
      <c r="AL173" s="30" t="s">
        <v>64</v>
      </c>
      <c r="AN173" s="31" t="str">
        <f t="shared" si="115"/>
        <v>3 doors</v>
      </c>
      <c r="AO173" s="23" t="s">
        <v>66</v>
      </c>
      <c r="AP173" s="23" t="s">
        <v>71</v>
      </c>
      <c r="AQ173" s="23" t="s">
        <v>188</v>
      </c>
      <c r="AR173" s="34">
        <f t="shared" si="99"/>
        <v>6508.05</v>
      </c>
      <c r="AS173" s="23">
        <v>65</v>
      </c>
      <c r="AT173" s="23">
        <v>8</v>
      </c>
      <c r="AU173" s="23">
        <v>5</v>
      </c>
    </row>
    <row r="174" spans="1:47">
      <c r="A174" s="26" t="s">
        <v>62</v>
      </c>
      <c r="B174" s="23" t="s">
        <v>55</v>
      </c>
      <c r="C174" s="23">
        <v>3</v>
      </c>
      <c r="E174" s="23" t="s">
        <v>61</v>
      </c>
      <c r="F174" s="23" t="s">
        <v>101</v>
      </c>
      <c r="G174" s="27">
        <v>2014</v>
      </c>
      <c r="H174" s="27">
        <v>20</v>
      </c>
      <c r="I174" s="27">
        <v>25</v>
      </c>
      <c r="J174" s="27">
        <v>20</v>
      </c>
      <c r="K174" s="27">
        <v>14</v>
      </c>
      <c r="L174" s="27">
        <v>14</v>
      </c>
      <c r="M174" s="27">
        <v>14</v>
      </c>
      <c r="P174" s="28">
        <f t="shared" si="90"/>
        <v>42</v>
      </c>
      <c r="Q174" s="28">
        <f t="shared" si="91"/>
        <v>28.751999999999999</v>
      </c>
      <c r="R174" s="28">
        <f t="shared" si="92"/>
        <v>28.541333333333338</v>
      </c>
      <c r="S174" s="27">
        <v>80</v>
      </c>
      <c r="T174" s="29">
        <f t="shared" si="114"/>
        <v>299.20000000000005</v>
      </c>
      <c r="U174" s="27">
        <v>220</v>
      </c>
      <c r="V174" s="27">
        <v>13</v>
      </c>
      <c r="W174" s="27">
        <v>106</v>
      </c>
      <c r="X174" s="29">
        <f t="shared" si="113"/>
        <v>200</v>
      </c>
      <c r="Y174" s="27" t="s">
        <v>69</v>
      </c>
      <c r="Z174" s="27" t="s">
        <v>315</v>
      </c>
      <c r="AA174" s="29">
        <f t="shared" si="93"/>
        <v>5</v>
      </c>
      <c r="AB174" s="29">
        <f t="shared" si="94"/>
        <v>8</v>
      </c>
      <c r="AC174" s="29" t="str">
        <f t="shared" si="95"/>
        <v/>
      </c>
      <c r="AD174" s="29" t="str">
        <f t="shared" si="96"/>
        <v/>
      </c>
      <c r="AE174" s="29" t="str">
        <f t="shared" si="97"/>
        <v/>
      </c>
      <c r="AF174" s="29" t="str">
        <f t="shared" si="98"/>
        <v/>
      </c>
      <c r="AG174" s="27">
        <v>13</v>
      </c>
      <c r="AH174" s="27">
        <v>0</v>
      </c>
      <c r="AI174" s="27">
        <v>0</v>
      </c>
      <c r="AJ174" s="23" t="s">
        <v>59</v>
      </c>
      <c r="AK174" s="23" t="s">
        <v>63</v>
      </c>
      <c r="AL174" s="30" t="s">
        <v>64</v>
      </c>
      <c r="AN174" s="31" t="str">
        <f t="shared" si="115"/>
        <v>3 doors</v>
      </c>
      <c r="AO174" s="23" t="s">
        <v>66</v>
      </c>
      <c r="AP174" s="23" t="s">
        <v>71</v>
      </c>
      <c r="AQ174" s="23" t="s">
        <v>78</v>
      </c>
      <c r="AR174" s="34">
        <f t="shared" si="99"/>
        <v>6509</v>
      </c>
      <c r="AS174" s="23">
        <v>65</v>
      </c>
      <c r="AT174" s="23">
        <v>9</v>
      </c>
      <c r="AU174" s="23">
        <v>0</v>
      </c>
    </row>
    <row r="175" spans="1:47">
      <c r="A175" s="26" t="s">
        <v>62</v>
      </c>
      <c r="B175" s="23" t="s">
        <v>55</v>
      </c>
      <c r="C175" s="23">
        <v>3</v>
      </c>
      <c r="E175" s="23" t="s">
        <v>61</v>
      </c>
      <c r="F175" s="23" t="s">
        <v>101</v>
      </c>
      <c r="G175" s="27">
        <v>2014</v>
      </c>
      <c r="H175" s="27">
        <v>20</v>
      </c>
      <c r="I175" s="27">
        <v>25</v>
      </c>
      <c r="J175" s="27">
        <v>20</v>
      </c>
      <c r="K175" s="27">
        <v>14</v>
      </c>
      <c r="L175" s="27">
        <v>14</v>
      </c>
      <c r="M175" s="27">
        <v>14</v>
      </c>
      <c r="P175" s="28">
        <f t="shared" si="90"/>
        <v>42</v>
      </c>
      <c r="Q175" s="28">
        <f t="shared" si="91"/>
        <v>28.751999999999999</v>
      </c>
      <c r="R175" s="28">
        <f t="shared" si="92"/>
        <v>28.541333333333338</v>
      </c>
      <c r="S175" s="27">
        <v>80</v>
      </c>
      <c r="T175" s="29">
        <f t="shared" si="114"/>
        <v>299.20000000000005</v>
      </c>
      <c r="U175" s="27">
        <v>220</v>
      </c>
      <c r="V175" s="27">
        <v>13</v>
      </c>
      <c r="W175" s="27">
        <v>106</v>
      </c>
      <c r="X175" s="29">
        <f t="shared" si="113"/>
        <v>200</v>
      </c>
      <c r="Y175" s="27" t="s">
        <v>102</v>
      </c>
      <c r="Z175" s="27" t="s">
        <v>102</v>
      </c>
      <c r="AA175" s="29">
        <f t="shared" si="93"/>
        <v>5</v>
      </c>
      <c r="AB175" s="29">
        <f t="shared" si="94"/>
        <v>8</v>
      </c>
      <c r="AC175" s="29" t="str">
        <f t="shared" si="95"/>
        <v/>
      </c>
      <c r="AD175" s="29" t="str">
        <f t="shared" si="96"/>
        <v/>
      </c>
      <c r="AE175" s="29" t="str">
        <f t="shared" si="97"/>
        <v/>
      </c>
      <c r="AF175" s="29" t="str">
        <f t="shared" si="98"/>
        <v/>
      </c>
      <c r="AG175" s="27">
        <v>13</v>
      </c>
      <c r="AH175" s="27">
        <v>0</v>
      </c>
      <c r="AI175" s="27">
        <v>0</v>
      </c>
      <c r="AJ175" s="23" t="s">
        <v>59</v>
      </c>
      <c r="AK175" s="23" t="s">
        <v>63</v>
      </c>
      <c r="AL175" s="30" t="s">
        <v>64</v>
      </c>
      <c r="AN175" s="31" t="str">
        <f t="shared" si="115"/>
        <v>3 doors</v>
      </c>
      <c r="AO175" s="23" t="s">
        <v>66</v>
      </c>
      <c r="AP175" s="23" t="s">
        <v>71</v>
      </c>
      <c r="AQ175" s="23" t="s">
        <v>78</v>
      </c>
      <c r="AR175" s="34">
        <f t="shared" si="99"/>
        <v>6509.01</v>
      </c>
      <c r="AS175" s="23">
        <v>65</v>
      </c>
      <c r="AT175" s="23">
        <v>9</v>
      </c>
      <c r="AU175" s="23">
        <v>1</v>
      </c>
    </row>
    <row r="176" spans="1:47">
      <c r="A176" s="26" t="s">
        <v>75</v>
      </c>
      <c r="B176" s="23" t="s">
        <v>55</v>
      </c>
      <c r="C176" s="23">
        <v>3</v>
      </c>
      <c r="E176" s="23" t="s">
        <v>76</v>
      </c>
      <c r="F176" s="23" t="s">
        <v>23</v>
      </c>
      <c r="G176" s="27">
        <v>2018</v>
      </c>
      <c r="H176" s="27">
        <v>20</v>
      </c>
      <c r="I176" s="27">
        <v>25</v>
      </c>
      <c r="J176" s="27">
        <v>20</v>
      </c>
      <c r="K176" s="27">
        <v>14</v>
      </c>
      <c r="L176" s="27">
        <v>14</v>
      </c>
      <c r="M176" s="27">
        <v>14</v>
      </c>
      <c r="P176" s="28">
        <f t="shared" si="90"/>
        <v>42</v>
      </c>
      <c r="Q176" s="28">
        <f t="shared" si="91"/>
        <v>38.25</v>
      </c>
      <c r="R176" s="28">
        <f t="shared" si="92"/>
        <v>20.943333333333335</v>
      </c>
      <c r="S176" s="27">
        <v>80</v>
      </c>
      <c r="T176" s="29">
        <f t="shared" si="114"/>
        <v>340</v>
      </c>
      <c r="U176" s="27">
        <v>250</v>
      </c>
      <c r="V176" s="27">
        <v>13</v>
      </c>
      <c r="W176" s="27">
        <v>88</v>
      </c>
      <c r="X176" s="29">
        <f t="shared" si="113"/>
        <v>200</v>
      </c>
      <c r="Y176" s="27" t="s">
        <v>69</v>
      </c>
      <c r="Z176" s="27" t="s">
        <v>315</v>
      </c>
      <c r="AA176" s="29">
        <f t="shared" si="93"/>
        <v>5</v>
      </c>
      <c r="AB176" s="29">
        <f t="shared" si="94"/>
        <v>8</v>
      </c>
      <c r="AC176" s="29" t="str">
        <f t="shared" si="95"/>
        <v/>
      </c>
      <c r="AD176" s="29" t="str">
        <f t="shared" si="96"/>
        <v/>
      </c>
      <c r="AE176" s="29" t="str">
        <f t="shared" si="97"/>
        <v/>
      </c>
      <c r="AF176" s="29" t="str">
        <f t="shared" si="98"/>
        <v/>
      </c>
      <c r="AG176" s="27">
        <v>13</v>
      </c>
      <c r="AH176" s="27">
        <v>0</v>
      </c>
      <c r="AI176" s="27">
        <v>0</v>
      </c>
      <c r="AJ176" s="23" t="s">
        <v>59</v>
      </c>
      <c r="AK176" s="23" t="s">
        <v>63</v>
      </c>
      <c r="AL176" s="30" t="s">
        <v>64</v>
      </c>
      <c r="AN176" s="31" t="str">
        <f t="shared" si="115"/>
        <v>3 doors</v>
      </c>
      <c r="AO176" s="23" t="s">
        <v>66</v>
      </c>
      <c r="AP176" s="23" t="s">
        <v>71</v>
      </c>
      <c r="AQ176" s="23" t="s">
        <v>78</v>
      </c>
      <c r="AR176" s="34">
        <f t="shared" si="99"/>
        <v>6510</v>
      </c>
      <c r="AS176" s="23">
        <v>65</v>
      </c>
      <c r="AT176" s="23">
        <v>10</v>
      </c>
      <c r="AU176" s="23">
        <v>0</v>
      </c>
    </row>
    <row r="177" spans="1:47">
      <c r="A177" s="26" t="s">
        <v>75</v>
      </c>
      <c r="B177" s="23" t="s">
        <v>55</v>
      </c>
      <c r="C177" s="23">
        <v>3</v>
      </c>
      <c r="E177" s="23" t="s">
        <v>76</v>
      </c>
      <c r="F177" s="23" t="s">
        <v>23</v>
      </c>
      <c r="G177" s="27">
        <v>2018</v>
      </c>
      <c r="H177" s="27">
        <v>20</v>
      </c>
      <c r="I177" s="27">
        <v>25</v>
      </c>
      <c r="J177" s="27">
        <v>20</v>
      </c>
      <c r="K177" s="27">
        <v>14</v>
      </c>
      <c r="L177" s="27">
        <v>14</v>
      </c>
      <c r="M177" s="27">
        <v>14</v>
      </c>
      <c r="P177" s="28">
        <f t="shared" si="90"/>
        <v>42</v>
      </c>
      <c r="Q177" s="28">
        <f t="shared" si="91"/>
        <v>38.25</v>
      </c>
      <c r="R177" s="28">
        <f t="shared" si="92"/>
        <v>20.943333333333335</v>
      </c>
      <c r="S177" s="27">
        <v>80</v>
      </c>
      <c r="T177" s="29">
        <f t="shared" si="114"/>
        <v>340</v>
      </c>
      <c r="U177" s="27">
        <v>250</v>
      </c>
      <c r="V177" s="27">
        <v>13</v>
      </c>
      <c r="W177" s="27">
        <v>88</v>
      </c>
      <c r="X177" s="29">
        <f t="shared" si="113"/>
        <v>200</v>
      </c>
      <c r="Y177" s="27" t="s">
        <v>102</v>
      </c>
      <c r="Z177" s="27" t="s">
        <v>102</v>
      </c>
      <c r="AA177" s="29">
        <f t="shared" si="93"/>
        <v>5</v>
      </c>
      <c r="AB177" s="29">
        <f t="shared" si="94"/>
        <v>8</v>
      </c>
      <c r="AC177" s="29" t="str">
        <f t="shared" si="95"/>
        <v/>
      </c>
      <c r="AD177" s="29" t="str">
        <f t="shared" si="96"/>
        <v/>
      </c>
      <c r="AE177" s="29" t="str">
        <f t="shared" si="97"/>
        <v/>
      </c>
      <c r="AF177" s="29" t="str">
        <f t="shared" si="98"/>
        <v/>
      </c>
      <c r="AG177" s="27">
        <v>13</v>
      </c>
      <c r="AH177" s="27">
        <v>0</v>
      </c>
      <c r="AI177" s="27">
        <v>0</v>
      </c>
      <c r="AJ177" s="23" t="s">
        <v>59</v>
      </c>
      <c r="AK177" s="23" t="s">
        <v>63</v>
      </c>
      <c r="AL177" s="30" t="s">
        <v>64</v>
      </c>
      <c r="AN177" s="31" t="str">
        <f t="shared" si="115"/>
        <v>3 doors</v>
      </c>
      <c r="AO177" s="23" t="s">
        <v>66</v>
      </c>
      <c r="AP177" s="23" t="s">
        <v>71</v>
      </c>
      <c r="AQ177" s="23" t="s">
        <v>78</v>
      </c>
      <c r="AR177" s="34">
        <f t="shared" si="99"/>
        <v>6510.01</v>
      </c>
      <c r="AS177" s="23">
        <v>65</v>
      </c>
      <c r="AT177" s="23">
        <v>10</v>
      </c>
      <c r="AU177" s="23">
        <v>1</v>
      </c>
    </row>
    <row r="178" spans="1:47">
      <c r="A178" s="26" t="s">
        <v>75</v>
      </c>
      <c r="B178" s="23" t="s">
        <v>55</v>
      </c>
      <c r="C178" s="23">
        <v>3</v>
      </c>
      <c r="E178" s="23" t="s">
        <v>76</v>
      </c>
      <c r="F178" s="23" t="s">
        <v>23</v>
      </c>
      <c r="G178" s="27">
        <v>2018</v>
      </c>
      <c r="H178" s="27">
        <v>20</v>
      </c>
      <c r="I178" s="27">
        <v>25</v>
      </c>
      <c r="J178" s="27">
        <v>20</v>
      </c>
      <c r="K178" s="27">
        <v>14</v>
      </c>
      <c r="L178" s="27">
        <v>14</v>
      </c>
      <c r="M178" s="27">
        <v>14</v>
      </c>
      <c r="P178" s="28">
        <f t="shared" si="90"/>
        <v>42</v>
      </c>
      <c r="Q178" s="28">
        <f t="shared" si="91"/>
        <v>38.25</v>
      </c>
      <c r="R178" s="28">
        <f t="shared" si="92"/>
        <v>20.943333333333335</v>
      </c>
      <c r="S178" s="27">
        <v>80</v>
      </c>
      <c r="T178" s="29">
        <f t="shared" si="114"/>
        <v>340</v>
      </c>
      <c r="U178" s="27">
        <v>250</v>
      </c>
      <c r="V178" s="27">
        <v>13</v>
      </c>
      <c r="W178" s="27">
        <v>88</v>
      </c>
      <c r="X178" s="29">
        <f t="shared" si="113"/>
        <v>200</v>
      </c>
      <c r="Y178" s="27" t="s">
        <v>107</v>
      </c>
      <c r="Z178" s="27" t="s">
        <v>107</v>
      </c>
      <c r="AA178" s="29">
        <f t="shared" si="93"/>
        <v>5</v>
      </c>
      <c r="AB178" s="29">
        <f t="shared" si="94"/>
        <v>8</v>
      </c>
      <c r="AC178" s="29" t="str">
        <f t="shared" si="95"/>
        <v/>
      </c>
      <c r="AD178" s="29" t="str">
        <f t="shared" si="96"/>
        <v/>
      </c>
      <c r="AE178" s="29" t="str">
        <f t="shared" si="97"/>
        <v/>
      </c>
      <c r="AF178" s="29" t="str">
        <f t="shared" si="98"/>
        <v/>
      </c>
      <c r="AG178" s="27">
        <v>13</v>
      </c>
      <c r="AH178" s="27">
        <v>0</v>
      </c>
      <c r="AI178" s="27">
        <v>0</v>
      </c>
      <c r="AJ178" s="23" t="s">
        <v>59</v>
      </c>
      <c r="AK178" s="23" t="s">
        <v>63</v>
      </c>
      <c r="AL178" s="30" t="s">
        <v>64</v>
      </c>
      <c r="AN178" s="31" t="str">
        <f t="shared" si="115"/>
        <v>3 doors</v>
      </c>
      <c r="AO178" s="23" t="s">
        <v>66</v>
      </c>
      <c r="AP178" s="23" t="s">
        <v>71</v>
      </c>
      <c r="AQ178" s="23" t="s">
        <v>188</v>
      </c>
      <c r="AR178" s="34">
        <f t="shared" si="99"/>
        <v>6510.02</v>
      </c>
      <c r="AS178" s="23">
        <v>65</v>
      </c>
      <c r="AT178" s="23">
        <v>10</v>
      </c>
      <c r="AU178" s="23">
        <v>2</v>
      </c>
    </row>
    <row r="179" spans="1:47">
      <c r="A179" s="26" t="s">
        <v>75</v>
      </c>
      <c r="B179" s="23" t="s">
        <v>55</v>
      </c>
      <c r="C179" s="23">
        <v>3</v>
      </c>
      <c r="E179" s="23" t="s">
        <v>76</v>
      </c>
      <c r="F179" s="23" t="s">
        <v>23</v>
      </c>
      <c r="G179" s="27">
        <v>2018</v>
      </c>
      <c r="H179" s="27">
        <v>20</v>
      </c>
      <c r="I179" s="27">
        <v>25</v>
      </c>
      <c r="J179" s="27">
        <v>20</v>
      </c>
      <c r="K179" s="27">
        <v>14</v>
      </c>
      <c r="L179" s="27">
        <v>14</v>
      </c>
      <c r="M179" s="27">
        <v>14</v>
      </c>
      <c r="P179" s="28">
        <f t="shared" si="90"/>
        <v>42</v>
      </c>
      <c r="Q179" s="28">
        <f t="shared" si="91"/>
        <v>38.25</v>
      </c>
      <c r="R179" s="28">
        <f t="shared" si="92"/>
        <v>20.943333333333335</v>
      </c>
      <c r="S179" s="27">
        <v>80</v>
      </c>
      <c r="T179" s="29">
        <f t="shared" si="114"/>
        <v>340</v>
      </c>
      <c r="U179" s="27">
        <v>250</v>
      </c>
      <c r="V179" s="27">
        <v>13</v>
      </c>
      <c r="W179" s="27">
        <v>88</v>
      </c>
      <c r="X179" s="29">
        <f t="shared" si="113"/>
        <v>200</v>
      </c>
      <c r="Y179" s="27" t="s">
        <v>104</v>
      </c>
      <c r="Z179" s="27" t="s">
        <v>164</v>
      </c>
      <c r="AA179" s="29">
        <f t="shared" si="93"/>
        <v>5</v>
      </c>
      <c r="AB179" s="29">
        <f t="shared" si="94"/>
        <v>8</v>
      </c>
      <c r="AC179" s="29" t="str">
        <f t="shared" si="95"/>
        <v/>
      </c>
      <c r="AD179" s="29" t="str">
        <f t="shared" si="96"/>
        <v/>
      </c>
      <c r="AE179" s="29" t="str">
        <f t="shared" si="97"/>
        <v/>
      </c>
      <c r="AF179" s="29" t="str">
        <f t="shared" si="98"/>
        <v/>
      </c>
      <c r="AG179" s="27">
        <v>13</v>
      </c>
      <c r="AH179" s="27">
        <v>0</v>
      </c>
      <c r="AI179" s="27">
        <v>0</v>
      </c>
      <c r="AJ179" s="23" t="s">
        <v>59</v>
      </c>
      <c r="AK179" s="23" t="s">
        <v>63</v>
      </c>
      <c r="AL179" s="30" t="s">
        <v>64</v>
      </c>
      <c r="AN179" s="31" t="str">
        <f t="shared" si="115"/>
        <v>3 doors</v>
      </c>
      <c r="AO179" s="23" t="s">
        <v>66</v>
      </c>
      <c r="AP179" s="23" t="s">
        <v>71</v>
      </c>
      <c r="AQ179" s="23" t="s">
        <v>188</v>
      </c>
      <c r="AR179" s="34">
        <f t="shared" si="99"/>
        <v>6510.03</v>
      </c>
      <c r="AS179" s="23">
        <v>65</v>
      </c>
      <c r="AT179" s="23">
        <v>10</v>
      </c>
      <c r="AU179" s="23">
        <v>3</v>
      </c>
    </row>
    <row r="180" spans="1:47">
      <c r="A180" s="26" t="s">
        <v>75</v>
      </c>
      <c r="B180" s="23" t="s">
        <v>55</v>
      </c>
      <c r="C180" s="23">
        <v>3</v>
      </c>
      <c r="E180" s="23" t="s">
        <v>76</v>
      </c>
      <c r="F180" s="23" t="s">
        <v>23</v>
      </c>
      <c r="G180" s="27">
        <v>2018</v>
      </c>
      <c r="H180" s="27">
        <v>20</v>
      </c>
      <c r="I180" s="27">
        <v>25</v>
      </c>
      <c r="J180" s="27">
        <v>20</v>
      </c>
      <c r="K180" s="27">
        <v>14</v>
      </c>
      <c r="L180" s="27">
        <v>14</v>
      </c>
      <c r="M180" s="27">
        <v>14</v>
      </c>
      <c r="P180" s="28">
        <f t="shared" si="90"/>
        <v>42</v>
      </c>
      <c r="Q180" s="28">
        <f t="shared" si="91"/>
        <v>38.25</v>
      </c>
      <c r="R180" s="28">
        <f t="shared" si="92"/>
        <v>20.943333333333335</v>
      </c>
      <c r="S180" s="27">
        <v>80</v>
      </c>
      <c r="T180" s="29">
        <f t="shared" si="114"/>
        <v>340</v>
      </c>
      <c r="U180" s="27">
        <v>250</v>
      </c>
      <c r="V180" s="27">
        <v>13</v>
      </c>
      <c r="W180" s="27">
        <v>88</v>
      </c>
      <c r="X180" s="29">
        <f t="shared" si="113"/>
        <v>200</v>
      </c>
      <c r="Y180" s="27" t="s">
        <v>103</v>
      </c>
      <c r="Z180" s="27" t="s">
        <v>164</v>
      </c>
      <c r="AA180" s="29">
        <f t="shared" si="93"/>
        <v>5</v>
      </c>
      <c r="AB180" s="29">
        <f t="shared" si="94"/>
        <v>8</v>
      </c>
      <c r="AC180" s="29" t="str">
        <f t="shared" si="95"/>
        <v/>
      </c>
      <c r="AD180" s="29" t="str">
        <f t="shared" si="96"/>
        <v/>
      </c>
      <c r="AE180" s="29" t="str">
        <f t="shared" si="97"/>
        <v/>
      </c>
      <c r="AF180" s="29" t="str">
        <f t="shared" si="98"/>
        <v/>
      </c>
      <c r="AG180" s="27">
        <v>13</v>
      </c>
      <c r="AH180" s="27">
        <v>0</v>
      </c>
      <c r="AI180" s="27">
        <v>0</v>
      </c>
      <c r="AJ180" s="23" t="s">
        <v>59</v>
      </c>
      <c r="AK180" s="23" t="s">
        <v>63</v>
      </c>
      <c r="AL180" s="30" t="s">
        <v>64</v>
      </c>
      <c r="AN180" s="31" t="str">
        <f t="shared" si="115"/>
        <v>3 doors</v>
      </c>
      <c r="AO180" s="23" t="s">
        <v>66</v>
      </c>
      <c r="AP180" s="23" t="s">
        <v>71</v>
      </c>
      <c r="AQ180" s="23" t="s">
        <v>188</v>
      </c>
      <c r="AR180" s="34">
        <f t="shared" si="99"/>
        <v>6510.04</v>
      </c>
      <c r="AS180" s="23">
        <v>65</v>
      </c>
      <c r="AT180" s="23">
        <v>10</v>
      </c>
      <c r="AU180" s="23">
        <v>4</v>
      </c>
    </row>
    <row r="181" spans="1:47">
      <c r="A181" s="26" t="s">
        <v>75</v>
      </c>
      <c r="B181" s="23" t="s">
        <v>55</v>
      </c>
      <c r="C181" s="23">
        <v>3</v>
      </c>
      <c r="E181" s="23" t="s">
        <v>76</v>
      </c>
      <c r="F181" s="23" t="s">
        <v>23</v>
      </c>
      <c r="G181" s="27">
        <v>2018</v>
      </c>
      <c r="H181" s="27">
        <v>20</v>
      </c>
      <c r="I181" s="27">
        <v>25</v>
      </c>
      <c r="J181" s="27">
        <v>20</v>
      </c>
      <c r="K181" s="27">
        <v>14</v>
      </c>
      <c r="L181" s="27">
        <v>14</v>
      </c>
      <c r="M181" s="27">
        <v>14</v>
      </c>
      <c r="P181" s="28">
        <f t="shared" si="90"/>
        <v>42</v>
      </c>
      <c r="Q181" s="28">
        <f t="shared" si="91"/>
        <v>38.25</v>
      </c>
      <c r="R181" s="28">
        <f t="shared" si="92"/>
        <v>20.943333333333335</v>
      </c>
      <c r="S181" s="27">
        <v>80</v>
      </c>
      <c r="T181" s="29">
        <f t="shared" si="114"/>
        <v>340</v>
      </c>
      <c r="U181" s="27">
        <v>250</v>
      </c>
      <c r="V181" s="27">
        <v>13</v>
      </c>
      <c r="W181" s="27">
        <v>88</v>
      </c>
      <c r="X181" s="29">
        <f t="shared" si="113"/>
        <v>200</v>
      </c>
      <c r="Y181" s="27" t="s">
        <v>116</v>
      </c>
      <c r="Z181" s="27" t="s">
        <v>116</v>
      </c>
      <c r="AA181" s="29">
        <f t="shared" si="93"/>
        <v>5</v>
      </c>
      <c r="AB181" s="29">
        <f t="shared" si="94"/>
        <v>8</v>
      </c>
      <c r="AC181" s="29" t="str">
        <f t="shared" si="95"/>
        <v/>
      </c>
      <c r="AD181" s="29" t="str">
        <f t="shared" si="96"/>
        <v/>
      </c>
      <c r="AE181" s="29" t="str">
        <f t="shared" si="97"/>
        <v/>
      </c>
      <c r="AF181" s="29" t="str">
        <f t="shared" si="98"/>
        <v/>
      </c>
      <c r="AG181" s="27">
        <v>13</v>
      </c>
      <c r="AH181" s="27">
        <v>0</v>
      </c>
      <c r="AI181" s="27">
        <v>0</v>
      </c>
      <c r="AJ181" s="23" t="s">
        <v>59</v>
      </c>
      <c r="AK181" s="23" t="s">
        <v>63</v>
      </c>
      <c r="AL181" s="30" t="s">
        <v>64</v>
      </c>
      <c r="AN181" s="31" t="str">
        <f t="shared" si="115"/>
        <v>3 doors</v>
      </c>
      <c r="AO181" s="23" t="s">
        <v>66</v>
      </c>
      <c r="AP181" s="23" t="s">
        <v>71</v>
      </c>
      <c r="AQ181" s="23" t="s">
        <v>188</v>
      </c>
      <c r="AR181" s="34">
        <f t="shared" si="99"/>
        <v>6510.05</v>
      </c>
      <c r="AS181" s="23">
        <v>65</v>
      </c>
      <c r="AT181" s="23">
        <v>10</v>
      </c>
      <c r="AU181" s="23">
        <v>5</v>
      </c>
    </row>
    <row r="182" spans="1:47">
      <c r="A182" s="26" t="s">
        <v>75</v>
      </c>
      <c r="B182" s="23" t="s">
        <v>55</v>
      </c>
      <c r="C182" s="23">
        <v>3</v>
      </c>
      <c r="E182" s="23" t="s">
        <v>76</v>
      </c>
      <c r="F182" s="23" t="s">
        <v>23</v>
      </c>
      <c r="G182" s="27">
        <v>2018</v>
      </c>
      <c r="H182" s="27">
        <v>20</v>
      </c>
      <c r="I182" s="27">
        <v>25</v>
      </c>
      <c r="J182" s="27">
        <v>20</v>
      </c>
      <c r="K182" s="27">
        <v>14</v>
      </c>
      <c r="L182" s="27">
        <v>14</v>
      </c>
      <c r="M182" s="27">
        <v>14</v>
      </c>
      <c r="P182" s="28">
        <f t="shared" si="90"/>
        <v>42</v>
      </c>
      <c r="Q182" s="28">
        <f t="shared" si="91"/>
        <v>38.25</v>
      </c>
      <c r="R182" s="28">
        <f t="shared" si="92"/>
        <v>20.943333333333335</v>
      </c>
      <c r="S182" s="27">
        <v>80</v>
      </c>
      <c r="T182" s="29">
        <f t="shared" si="114"/>
        <v>340</v>
      </c>
      <c r="U182" s="27">
        <v>250</v>
      </c>
      <c r="V182" s="27">
        <v>13</v>
      </c>
      <c r="W182" s="27">
        <v>88</v>
      </c>
      <c r="X182" s="29">
        <f t="shared" si="113"/>
        <v>200</v>
      </c>
      <c r="Y182" s="27" t="s">
        <v>108</v>
      </c>
      <c r="Z182" s="27" t="s">
        <v>108</v>
      </c>
      <c r="AA182" s="29">
        <f t="shared" si="93"/>
        <v>5</v>
      </c>
      <c r="AB182" s="29">
        <f t="shared" si="94"/>
        <v>8</v>
      </c>
      <c r="AC182" s="29" t="str">
        <f t="shared" si="95"/>
        <v/>
      </c>
      <c r="AD182" s="29" t="str">
        <f t="shared" si="96"/>
        <v/>
      </c>
      <c r="AE182" s="29" t="str">
        <f t="shared" si="97"/>
        <v/>
      </c>
      <c r="AF182" s="29" t="str">
        <f t="shared" si="98"/>
        <v/>
      </c>
      <c r="AG182" s="27">
        <v>13</v>
      </c>
      <c r="AH182" s="27">
        <v>0</v>
      </c>
      <c r="AI182" s="27">
        <v>0</v>
      </c>
      <c r="AJ182" s="23" t="s">
        <v>59</v>
      </c>
      <c r="AK182" s="23" t="s">
        <v>63</v>
      </c>
      <c r="AL182" s="30" t="s">
        <v>64</v>
      </c>
      <c r="AN182" s="31" t="str">
        <f t="shared" si="115"/>
        <v>3 doors</v>
      </c>
      <c r="AO182" s="23" t="s">
        <v>66</v>
      </c>
      <c r="AP182" s="23" t="s">
        <v>71</v>
      </c>
      <c r="AQ182" s="23" t="s">
        <v>188</v>
      </c>
      <c r="AR182" s="34">
        <f t="shared" si="99"/>
        <v>6510.06</v>
      </c>
      <c r="AS182" s="23">
        <v>65</v>
      </c>
      <c r="AT182" s="23">
        <v>10</v>
      </c>
      <c r="AU182" s="23">
        <v>6</v>
      </c>
    </row>
    <row r="183" spans="1:47">
      <c r="A183" s="26" t="s">
        <v>75</v>
      </c>
      <c r="B183" s="23" t="s">
        <v>55</v>
      </c>
      <c r="C183" s="23">
        <v>3</v>
      </c>
      <c r="E183" s="23" t="s">
        <v>76</v>
      </c>
      <c r="F183" s="23" t="s">
        <v>23</v>
      </c>
      <c r="G183" s="27">
        <v>2018</v>
      </c>
      <c r="H183" s="27">
        <v>20</v>
      </c>
      <c r="I183" s="27">
        <v>25</v>
      </c>
      <c r="J183" s="27">
        <v>20</v>
      </c>
      <c r="K183" s="27">
        <v>14</v>
      </c>
      <c r="L183" s="27">
        <v>14</v>
      </c>
      <c r="M183" s="27">
        <v>14</v>
      </c>
      <c r="P183" s="28">
        <f t="shared" si="90"/>
        <v>42</v>
      </c>
      <c r="Q183" s="28">
        <f t="shared" si="91"/>
        <v>38.25</v>
      </c>
      <c r="R183" s="28">
        <f t="shared" si="92"/>
        <v>20.943333333333335</v>
      </c>
      <c r="S183" s="27">
        <v>80</v>
      </c>
      <c r="T183" s="29">
        <f t="shared" si="114"/>
        <v>340</v>
      </c>
      <c r="U183" s="27">
        <v>250</v>
      </c>
      <c r="V183" s="27">
        <v>13</v>
      </c>
      <c r="W183" s="27">
        <v>88</v>
      </c>
      <c r="X183" s="29">
        <f t="shared" si="113"/>
        <v>200</v>
      </c>
      <c r="Y183" s="27" t="s">
        <v>109</v>
      </c>
      <c r="Z183" s="27" t="s">
        <v>109</v>
      </c>
      <c r="AA183" s="29">
        <f t="shared" si="93"/>
        <v>5</v>
      </c>
      <c r="AB183" s="29">
        <f t="shared" si="94"/>
        <v>8</v>
      </c>
      <c r="AC183" s="29" t="str">
        <f t="shared" si="95"/>
        <v/>
      </c>
      <c r="AD183" s="29" t="str">
        <f t="shared" si="96"/>
        <v/>
      </c>
      <c r="AE183" s="29" t="str">
        <f t="shared" si="97"/>
        <v/>
      </c>
      <c r="AF183" s="29" t="str">
        <f t="shared" si="98"/>
        <v/>
      </c>
      <c r="AG183" s="27">
        <v>13</v>
      </c>
      <c r="AH183" s="27">
        <v>0</v>
      </c>
      <c r="AI183" s="27">
        <v>0</v>
      </c>
      <c r="AJ183" s="23" t="s">
        <v>59</v>
      </c>
      <c r="AK183" s="23" t="s">
        <v>63</v>
      </c>
      <c r="AL183" s="30" t="s">
        <v>64</v>
      </c>
      <c r="AN183" s="31" t="str">
        <f t="shared" si="115"/>
        <v>3 doors</v>
      </c>
      <c r="AO183" s="23" t="s">
        <v>66</v>
      </c>
      <c r="AP183" s="23" t="s">
        <v>71</v>
      </c>
      <c r="AQ183" s="23" t="s">
        <v>188</v>
      </c>
      <c r="AR183" s="34">
        <f t="shared" si="99"/>
        <v>6510.07</v>
      </c>
      <c r="AS183" s="23">
        <v>65</v>
      </c>
      <c r="AT183" s="23">
        <v>10</v>
      </c>
      <c r="AU183" s="23">
        <v>7</v>
      </c>
    </row>
    <row r="184" spans="1:47">
      <c r="A184" s="26" t="s">
        <v>75</v>
      </c>
      <c r="B184" s="23" t="s">
        <v>55</v>
      </c>
      <c r="C184" s="23">
        <v>3</v>
      </c>
      <c r="E184" s="23" t="s">
        <v>76</v>
      </c>
      <c r="F184" s="23" t="s">
        <v>23</v>
      </c>
      <c r="G184" s="27">
        <v>2018</v>
      </c>
      <c r="H184" s="27">
        <v>20</v>
      </c>
      <c r="I184" s="27">
        <v>25</v>
      </c>
      <c r="J184" s="27">
        <v>20</v>
      </c>
      <c r="K184" s="27">
        <v>14</v>
      </c>
      <c r="L184" s="27">
        <v>14</v>
      </c>
      <c r="M184" s="27">
        <v>14</v>
      </c>
      <c r="P184" s="28">
        <f t="shared" si="90"/>
        <v>42</v>
      </c>
      <c r="Q184" s="28">
        <f t="shared" si="91"/>
        <v>38.25</v>
      </c>
      <c r="R184" s="28">
        <f t="shared" si="92"/>
        <v>20.943333333333335</v>
      </c>
      <c r="S184" s="27">
        <v>80</v>
      </c>
      <c r="T184" s="29">
        <f t="shared" si="114"/>
        <v>340</v>
      </c>
      <c r="U184" s="27">
        <v>250</v>
      </c>
      <c r="V184" s="27">
        <v>13</v>
      </c>
      <c r="W184" s="27">
        <v>88</v>
      </c>
      <c r="X184" s="29">
        <f t="shared" si="113"/>
        <v>200</v>
      </c>
      <c r="Y184" s="27" t="s">
        <v>110</v>
      </c>
      <c r="Z184" s="27" t="s">
        <v>110</v>
      </c>
      <c r="AA184" s="29">
        <f t="shared" si="93"/>
        <v>5</v>
      </c>
      <c r="AB184" s="29">
        <f t="shared" si="94"/>
        <v>8</v>
      </c>
      <c r="AC184" s="29" t="str">
        <f t="shared" si="95"/>
        <v/>
      </c>
      <c r="AD184" s="29" t="str">
        <f t="shared" si="96"/>
        <v/>
      </c>
      <c r="AE184" s="29" t="str">
        <f t="shared" si="97"/>
        <v/>
      </c>
      <c r="AF184" s="29" t="str">
        <f t="shared" si="98"/>
        <v/>
      </c>
      <c r="AG184" s="27">
        <v>13</v>
      </c>
      <c r="AH184" s="27">
        <v>0</v>
      </c>
      <c r="AI184" s="27">
        <v>0</v>
      </c>
      <c r="AJ184" s="23" t="s">
        <v>59</v>
      </c>
      <c r="AK184" s="23" t="s">
        <v>63</v>
      </c>
      <c r="AL184" s="30" t="s">
        <v>64</v>
      </c>
      <c r="AN184" s="31" t="str">
        <f t="shared" si="115"/>
        <v>3 doors</v>
      </c>
      <c r="AO184" s="23" t="s">
        <v>66</v>
      </c>
      <c r="AP184" s="23" t="s">
        <v>71</v>
      </c>
      <c r="AQ184" s="23" t="s">
        <v>188</v>
      </c>
      <c r="AR184" s="34">
        <f t="shared" si="99"/>
        <v>6510.08</v>
      </c>
      <c r="AS184" s="23">
        <v>65</v>
      </c>
      <c r="AT184" s="23">
        <v>10</v>
      </c>
      <c r="AU184" s="23">
        <v>8</v>
      </c>
    </row>
    <row r="185" spans="1:47">
      <c r="A185" s="26" t="s">
        <v>75</v>
      </c>
      <c r="B185" s="23" t="s">
        <v>55</v>
      </c>
      <c r="C185" s="23">
        <v>3</v>
      </c>
      <c r="E185" s="23" t="s">
        <v>76</v>
      </c>
      <c r="F185" s="23" t="s">
        <v>23</v>
      </c>
      <c r="G185" s="27">
        <v>2018</v>
      </c>
      <c r="H185" s="27">
        <v>20</v>
      </c>
      <c r="I185" s="27">
        <v>25</v>
      </c>
      <c r="J185" s="27">
        <v>20</v>
      </c>
      <c r="K185" s="27">
        <v>14</v>
      </c>
      <c r="L185" s="27">
        <v>14</v>
      </c>
      <c r="M185" s="27">
        <v>14</v>
      </c>
      <c r="P185" s="28">
        <f t="shared" si="90"/>
        <v>42</v>
      </c>
      <c r="Q185" s="28">
        <f t="shared" si="91"/>
        <v>38.25</v>
      </c>
      <c r="R185" s="28">
        <f t="shared" si="92"/>
        <v>20.943333333333335</v>
      </c>
      <c r="S185" s="27">
        <v>80</v>
      </c>
      <c r="T185" s="29">
        <f t="shared" si="114"/>
        <v>340</v>
      </c>
      <c r="U185" s="27">
        <v>250</v>
      </c>
      <c r="V185" s="27">
        <v>13</v>
      </c>
      <c r="W185" s="27">
        <v>88</v>
      </c>
      <c r="X185" s="29">
        <f t="shared" si="113"/>
        <v>200</v>
      </c>
      <c r="Y185" s="27" t="s">
        <v>111</v>
      </c>
      <c r="Z185" s="27" t="s">
        <v>111</v>
      </c>
      <c r="AA185" s="29">
        <f t="shared" si="93"/>
        <v>5</v>
      </c>
      <c r="AB185" s="29">
        <f t="shared" si="94"/>
        <v>8</v>
      </c>
      <c r="AC185" s="29" t="str">
        <f t="shared" si="95"/>
        <v/>
      </c>
      <c r="AD185" s="29" t="str">
        <f t="shared" si="96"/>
        <v/>
      </c>
      <c r="AE185" s="29" t="str">
        <f t="shared" si="97"/>
        <v/>
      </c>
      <c r="AF185" s="29" t="str">
        <f t="shared" si="98"/>
        <v/>
      </c>
      <c r="AG185" s="27">
        <v>13</v>
      </c>
      <c r="AH185" s="27">
        <v>0</v>
      </c>
      <c r="AI185" s="27">
        <v>0</v>
      </c>
      <c r="AJ185" s="23" t="s">
        <v>59</v>
      </c>
      <c r="AK185" s="23" t="s">
        <v>63</v>
      </c>
      <c r="AL185" s="30" t="s">
        <v>64</v>
      </c>
      <c r="AN185" s="31" t="str">
        <f t="shared" si="115"/>
        <v>3 doors</v>
      </c>
      <c r="AO185" s="23" t="s">
        <v>66</v>
      </c>
      <c r="AP185" s="23" t="s">
        <v>71</v>
      </c>
      <c r="AQ185" s="23" t="s">
        <v>188</v>
      </c>
      <c r="AR185" s="34">
        <f t="shared" si="99"/>
        <v>6510.09</v>
      </c>
      <c r="AS185" s="23">
        <v>65</v>
      </c>
      <c r="AT185" s="23">
        <v>10</v>
      </c>
      <c r="AU185" s="23">
        <v>9</v>
      </c>
    </row>
    <row r="186" spans="1:47">
      <c r="A186" s="26" t="s">
        <v>75</v>
      </c>
      <c r="B186" s="23" t="s">
        <v>55</v>
      </c>
      <c r="C186" s="23">
        <v>3</v>
      </c>
      <c r="E186" s="23" t="s">
        <v>76</v>
      </c>
      <c r="F186" s="23" t="s">
        <v>23</v>
      </c>
      <c r="G186" s="27">
        <v>2018</v>
      </c>
      <c r="H186" s="27">
        <v>20</v>
      </c>
      <c r="I186" s="27">
        <v>25</v>
      </c>
      <c r="J186" s="27">
        <v>20</v>
      </c>
      <c r="K186" s="27">
        <v>14</v>
      </c>
      <c r="L186" s="27">
        <v>14</v>
      </c>
      <c r="M186" s="27">
        <v>14</v>
      </c>
      <c r="P186" s="28">
        <f t="shared" si="90"/>
        <v>42</v>
      </c>
      <c r="Q186" s="28">
        <f t="shared" si="91"/>
        <v>38.25</v>
      </c>
      <c r="R186" s="28">
        <f t="shared" si="92"/>
        <v>20.943333333333335</v>
      </c>
      <c r="S186" s="27">
        <v>80</v>
      </c>
      <c r="T186" s="29">
        <f t="shared" si="114"/>
        <v>340</v>
      </c>
      <c r="U186" s="27">
        <v>250</v>
      </c>
      <c r="V186" s="27">
        <v>13</v>
      </c>
      <c r="W186" s="27">
        <v>88</v>
      </c>
      <c r="X186" s="29">
        <f t="shared" si="113"/>
        <v>200</v>
      </c>
      <c r="Y186" s="27" t="s">
        <v>117</v>
      </c>
      <c r="Z186" s="27" t="s">
        <v>117</v>
      </c>
      <c r="AA186" s="29">
        <f t="shared" si="93"/>
        <v>5</v>
      </c>
      <c r="AB186" s="29">
        <f t="shared" si="94"/>
        <v>8</v>
      </c>
      <c r="AC186" s="29" t="str">
        <f t="shared" si="95"/>
        <v/>
      </c>
      <c r="AD186" s="29" t="str">
        <f t="shared" si="96"/>
        <v/>
      </c>
      <c r="AE186" s="29" t="str">
        <f t="shared" si="97"/>
        <v/>
      </c>
      <c r="AF186" s="29" t="str">
        <f t="shared" si="98"/>
        <v/>
      </c>
      <c r="AG186" s="27">
        <v>13</v>
      </c>
      <c r="AH186" s="27">
        <v>0</v>
      </c>
      <c r="AI186" s="27">
        <v>0</v>
      </c>
      <c r="AJ186" s="23" t="s">
        <v>59</v>
      </c>
      <c r="AK186" s="23" t="s">
        <v>63</v>
      </c>
      <c r="AL186" s="30" t="s">
        <v>64</v>
      </c>
      <c r="AN186" s="31" t="str">
        <f t="shared" si="115"/>
        <v>3 doors</v>
      </c>
      <c r="AO186" s="23" t="s">
        <v>66</v>
      </c>
      <c r="AP186" s="23" t="s">
        <v>71</v>
      </c>
      <c r="AQ186" s="23" t="s">
        <v>188</v>
      </c>
      <c r="AR186" s="34">
        <f t="shared" si="99"/>
        <v>6510.1</v>
      </c>
      <c r="AS186" s="23">
        <v>65</v>
      </c>
      <c r="AT186" s="23">
        <v>10</v>
      </c>
      <c r="AU186" s="23">
        <v>10</v>
      </c>
    </row>
    <row r="187" spans="1:47">
      <c r="A187" s="26" t="s">
        <v>75</v>
      </c>
      <c r="B187" s="23" t="s">
        <v>55</v>
      </c>
      <c r="C187" s="23">
        <v>3</v>
      </c>
      <c r="E187" s="23" t="s">
        <v>76</v>
      </c>
      <c r="F187" s="23" t="s">
        <v>23</v>
      </c>
      <c r="G187" s="27">
        <v>2018</v>
      </c>
      <c r="H187" s="27">
        <v>20</v>
      </c>
      <c r="I187" s="27">
        <v>25</v>
      </c>
      <c r="J187" s="27">
        <v>20</v>
      </c>
      <c r="K187" s="27">
        <v>14</v>
      </c>
      <c r="L187" s="27">
        <v>14</v>
      </c>
      <c r="M187" s="27">
        <v>14</v>
      </c>
      <c r="P187" s="28">
        <f t="shared" si="90"/>
        <v>42</v>
      </c>
      <c r="Q187" s="28">
        <f t="shared" si="91"/>
        <v>38.25</v>
      </c>
      <c r="R187" s="28">
        <f t="shared" si="92"/>
        <v>20.943333333333335</v>
      </c>
      <c r="S187" s="27">
        <v>80</v>
      </c>
      <c r="T187" s="29">
        <f t="shared" si="114"/>
        <v>340</v>
      </c>
      <c r="U187" s="27">
        <v>250</v>
      </c>
      <c r="V187" s="27">
        <v>13</v>
      </c>
      <c r="W187" s="27">
        <v>88</v>
      </c>
      <c r="X187" s="29">
        <f t="shared" si="113"/>
        <v>200</v>
      </c>
      <c r="Y187" s="27" t="s">
        <v>112</v>
      </c>
      <c r="Z187" s="27" t="s">
        <v>112</v>
      </c>
      <c r="AA187" s="29">
        <f t="shared" si="93"/>
        <v>5</v>
      </c>
      <c r="AB187" s="29">
        <f t="shared" si="94"/>
        <v>8</v>
      </c>
      <c r="AC187" s="29" t="str">
        <f t="shared" si="95"/>
        <v/>
      </c>
      <c r="AD187" s="29" t="str">
        <f t="shared" si="96"/>
        <v/>
      </c>
      <c r="AE187" s="29" t="str">
        <f t="shared" si="97"/>
        <v/>
      </c>
      <c r="AF187" s="29" t="str">
        <f t="shared" si="98"/>
        <v/>
      </c>
      <c r="AG187" s="27">
        <v>13</v>
      </c>
      <c r="AH187" s="27">
        <v>0</v>
      </c>
      <c r="AI187" s="27">
        <v>0</v>
      </c>
      <c r="AJ187" s="23" t="s">
        <v>59</v>
      </c>
      <c r="AK187" s="23" t="s">
        <v>63</v>
      </c>
      <c r="AL187" s="30" t="s">
        <v>64</v>
      </c>
      <c r="AN187" s="31" t="str">
        <f t="shared" si="115"/>
        <v>3 doors</v>
      </c>
      <c r="AO187" s="23" t="s">
        <v>66</v>
      </c>
      <c r="AP187" s="23" t="s">
        <v>71</v>
      </c>
      <c r="AQ187" s="23" t="s">
        <v>188</v>
      </c>
      <c r="AR187" s="34">
        <f t="shared" si="99"/>
        <v>6510.11</v>
      </c>
      <c r="AS187" s="23">
        <v>65</v>
      </c>
      <c r="AT187" s="23">
        <v>10</v>
      </c>
      <c r="AU187" s="23">
        <v>11</v>
      </c>
    </row>
    <row r="188" spans="1:47">
      <c r="A188" s="26" t="s">
        <v>62</v>
      </c>
      <c r="B188" s="23" t="s">
        <v>55</v>
      </c>
      <c r="C188" s="23">
        <v>2</v>
      </c>
      <c r="E188" s="23" t="s">
        <v>60</v>
      </c>
      <c r="F188" s="23" t="s">
        <v>5</v>
      </c>
      <c r="G188" s="27">
        <v>2012</v>
      </c>
      <c r="H188" s="27">
        <v>20</v>
      </c>
      <c r="I188" s="27">
        <v>25</v>
      </c>
      <c r="J188" s="27">
        <v>20</v>
      </c>
      <c r="K188" s="27">
        <v>14</v>
      </c>
      <c r="L188" s="27">
        <v>14</v>
      </c>
      <c r="P188" s="28">
        <f t="shared" si="90"/>
        <v>28</v>
      </c>
      <c r="Q188" s="28">
        <f t="shared" si="91"/>
        <v>25.68</v>
      </c>
      <c r="R188" s="28">
        <f t="shared" si="92"/>
        <v>39.266666666666666</v>
      </c>
      <c r="S188" s="27">
        <v>80</v>
      </c>
      <c r="T188" s="29">
        <f t="shared" si="114"/>
        <v>353.6</v>
      </c>
      <c r="U188" s="27">
        <v>260</v>
      </c>
      <c r="V188" s="27">
        <v>12</v>
      </c>
      <c r="W188" s="27">
        <v>106</v>
      </c>
      <c r="X188" s="29">
        <f t="shared" si="113"/>
        <v>200</v>
      </c>
      <c r="Y188" s="27" t="s">
        <v>69</v>
      </c>
      <c r="Z188" s="27" t="s">
        <v>315</v>
      </c>
      <c r="AA188" s="29">
        <f t="shared" si="93"/>
        <v>5</v>
      </c>
      <c r="AB188" s="29">
        <f t="shared" si="94"/>
        <v>8</v>
      </c>
      <c r="AC188" s="29" t="str">
        <f t="shared" si="95"/>
        <v/>
      </c>
      <c r="AD188" s="29" t="str">
        <f t="shared" si="96"/>
        <v/>
      </c>
      <c r="AE188" s="29" t="str">
        <f t="shared" si="97"/>
        <v/>
      </c>
      <c r="AF188" s="29" t="str">
        <f t="shared" si="98"/>
        <v/>
      </c>
      <c r="AG188" s="27">
        <v>13</v>
      </c>
      <c r="AH188" s="27">
        <v>0</v>
      </c>
      <c r="AI188" s="27">
        <v>0</v>
      </c>
      <c r="AJ188" s="23" t="s">
        <v>59</v>
      </c>
      <c r="AK188" s="23" t="s">
        <v>63</v>
      </c>
      <c r="AL188" s="30" t="s">
        <v>64</v>
      </c>
      <c r="AN188" s="31" t="str">
        <f t="shared" si="115"/>
        <v>2 doors</v>
      </c>
      <c r="AO188" s="23" t="s">
        <v>66</v>
      </c>
      <c r="AP188" s="23" t="s">
        <v>71</v>
      </c>
      <c r="AQ188" s="23" t="s">
        <v>78</v>
      </c>
      <c r="AR188" s="34">
        <f t="shared" si="99"/>
        <v>6511</v>
      </c>
      <c r="AS188" s="23">
        <v>65</v>
      </c>
      <c r="AT188" s="23">
        <v>11</v>
      </c>
      <c r="AU188" s="23">
        <v>0</v>
      </c>
    </row>
    <row r="189" spans="1:47">
      <c r="A189" s="26" t="s">
        <v>62</v>
      </c>
      <c r="B189" s="23" t="s">
        <v>55</v>
      </c>
      <c r="C189" s="23">
        <v>2</v>
      </c>
      <c r="E189" s="23" t="s">
        <v>60</v>
      </c>
      <c r="F189" s="23" t="s">
        <v>5</v>
      </c>
      <c r="G189" s="27">
        <v>2012</v>
      </c>
      <c r="H189" s="27">
        <v>20</v>
      </c>
      <c r="I189" s="27">
        <v>25</v>
      </c>
      <c r="J189" s="27">
        <v>20</v>
      </c>
      <c r="K189" s="27">
        <v>14</v>
      </c>
      <c r="L189" s="27">
        <v>14</v>
      </c>
      <c r="P189" s="28">
        <f t="shared" si="90"/>
        <v>28</v>
      </c>
      <c r="Q189" s="28">
        <f t="shared" si="91"/>
        <v>25.68</v>
      </c>
      <c r="R189" s="28">
        <f t="shared" si="92"/>
        <v>39.266666666666666</v>
      </c>
      <c r="S189" s="27">
        <v>80</v>
      </c>
      <c r="T189" s="29">
        <f t="shared" si="114"/>
        <v>353.6</v>
      </c>
      <c r="U189" s="27">
        <v>260</v>
      </c>
      <c r="V189" s="27">
        <v>12</v>
      </c>
      <c r="W189" s="27">
        <v>106</v>
      </c>
      <c r="X189" s="29">
        <f t="shared" si="113"/>
        <v>200</v>
      </c>
      <c r="Y189" s="27" t="s">
        <v>102</v>
      </c>
      <c r="Z189" s="27" t="s">
        <v>102</v>
      </c>
      <c r="AA189" s="29">
        <f t="shared" si="93"/>
        <v>5</v>
      </c>
      <c r="AB189" s="29">
        <f t="shared" si="94"/>
        <v>8</v>
      </c>
      <c r="AC189" s="29" t="str">
        <f t="shared" si="95"/>
        <v/>
      </c>
      <c r="AD189" s="29" t="str">
        <f t="shared" si="96"/>
        <v/>
      </c>
      <c r="AE189" s="29" t="str">
        <f t="shared" si="97"/>
        <v/>
      </c>
      <c r="AF189" s="29" t="str">
        <f t="shared" si="98"/>
        <v/>
      </c>
      <c r="AG189" s="27">
        <v>13</v>
      </c>
      <c r="AH189" s="27">
        <v>0</v>
      </c>
      <c r="AI189" s="27">
        <v>0</v>
      </c>
      <c r="AJ189" s="23" t="s">
        <v>59</v>
      </c>
      <c r="AK189" s="23" t="s">
        <v>63</v>
      </c>
      <c r="AL189" s="30" t="s">
        <v>64</v>
      </c>
      <c r="AN189" s="31" t="str">
        <f t="shared" si="115"/>
        <v>2 doors</v>
      </c>
      <c r="AO189" s="23" t="s">
        <v>66</v>
      </c>
      <c r="AP189" s="23" t="s">
        <v>71</v>
      </c>
      <c r="AQ189" s="23" t="s">
        <v>78</v>
      </c>
      <c r="AR189" s="34">
        <f t="shared" si="99"/>
        <v>6511.01</v>
      </c>
      <c r="AS189" s="23">
        <v>65</v>
      </c>
      <c r="AT189" s="23">
        <v>11</v>
      </c>
      <c r="AU189" s="23">
        <v>1</v>
      </c>
    </row>
    <row r="190" spans="1:47">
      <c r="A190" s="26" t="s">
        <v>62</v>
      </c>
      <c r="B190" s="23" t="s">
        <v>55</v>
      </c>
      <c r="C190" s="23">
        <v>2</v>
      </c>
      <c r="E190" s="23" t="s">
        <v>60</v>
      </c>
      <c r="F190" s="23" t="s">
        <v>5</v>
      </c>
      <c r="G190" s="27">
        <v>2012</v>
      </c>
      <c r="H190" s="27">
        <v>20</v>
      </c>
      <c r="I190" s="27">
        <v>25</v>
      </c>
      <c r="J190" s="27">
        <v>20</v>
      </c>
      <c r="K190" s="27">
        <v>14</v>
      </c>
      <c r="L190" s="27">
        <v>14</v>
      </c>
      <c r="P190" s="28">
        <f t="shared" si="90"/>
        <v>28</v>
      </c>
      <c r="Q190" s="28">
        <f t="shared" si="91"/>
        <v>25.68</v>
      </c>
      <c r="R190" s="28">
        <f t="shared" si="92"/>
        <v>39.266666666666666</v>
      </c>
      <c r="S190" s="27">
        <v>80</v>
      </c>
      <c r="T190" s="29">
        <f t="shared" si="114"/>
        <v>353.6</v>
      </c>
      <c r="U190" s="27">
        <v>260</v>
      </c>
      <c r="V190" s="27">
        <v>12</v>
      </c>
      <c r="W190" s="27">
        <v>106</v>
      </c>
      <c r="X190" s="29">
        <f t="shared" si="113"/>
        <v>200</v>
      </c>
      <c r="Y190" s="27" t="s">
        <v>105</v>
      </c>
      <c r="Z190" s="27" t="s">
        <v>105</v>
      </c>
      <c r="AA190" s="29">
        <f t="shared" si="93"/>
        <v>5</v>
      </c>
      <c r="AB190" s="29">
        <f t="shared" si="94"/>
        <v>8</v>
      </c>
      <c r="AC190" s="29" t="str">
        <f t="shared" si="95"/>
        <v/>
      </c>
      <c r="AD190" s="29" t="str">
        <f t="shared" si="96"/>
        <v/>
      </c>
      <c r="AE190" s="29" t="str">
        <f t="shared" si="97"/>
        <v/>
      </c>
      <c r="AF190" s="29" t="str">
        <f t="shared" si="98"/>
        <v/>
      </c>
      <c r="AG190" s="27">
        <v>13</v>
      </c>
      <c r="AH190" s="27">
        <v>0</v>
      </c>
      <c r="AI190" s="27">
        <v>0</v>
      </c>
      <c r="AJ190" s="23" t="s">
        <v>59</v>
      </c>
      <c r="AK190" s="23" t="s">
        <v>63</v>
      </c>
      <c r="AL190" s="30" t="s">
        <v>64</v>
      </c>
      <c r="AN190" s="31" t="str">
        <f t="shared" si="115"/>
        <v>2 doors</v>
      </c>
      <c r="AO190" s="23" t="s">
        <v>66</v>
      </c>
      <c r="AP190" s="23" t="s">
        <v>71</v>
      </c>
      <c r="AQ190" s="23" t="s">
        <v>188</v>
      </c>
      <c r="AR190" s="34">
        <f t="shared" si="99"/>
        <v>6511.02</v>
      </c>
      <c r="AS190" s="23">
        <v>65</v>
      </c>
      <c r="AT190" s="23">
        <v>11</v>
      </c>
      <c r="AU190" s="23">
        <v>2</v>
      </c>
    </row>
    <row r="191" spans="1:47">
      <c r="A191" s="26" t="s">
        <v>62</v>
      </c>
      <c r="B191" s="23" t="s">
        <v>55</v>
      </c>
      <c r="C191" s="23">
        <v>2</v>
      </c>
      <c r="E191" s="23" t="s">
        <v>61</v>
      </c>
      <c r="F191" s="23" t="s">
        <v>100</v>
      </c>
      <c r="G191" s="27">
        <v>2014</v>
      </c>
      <c r="H191" s="27">
        <v>20</v>
      </c>
      <c r="I191" s="27">
        <v>25</v>
      </c>
      <c r="J191" s="27">
        <v>20</v>
      </c>
      <c r="K191" s="27">
        <v>14</v>
      </c>
      <c r="L191" s="27">
        <v>14</v>
      </c>
      <c r="P191" s="28">
        <f t="shared" si="90"/>
        <v>28</v>
      </c>
      <c r="Q191" s="28">
        <f t="shared" si="91"/>
        <v>27.751999999999999</v>
      </c>
      <c r="R191" s="28">
        <f t="shared" si="92"/>
        <v>27.541333333333338</v>
      </c>
      <c r="S191" s="27">
        <v>80</v>
      </c>
      <c r="T191" s="29">
        <f t="shared" si="114"/>
        <v>299.20000000000005</v>
      </c>
      <c r="U191" s="27">
        <v>220</v>
      </c>
      <c r="V191" s="27">
        <v>13</v>
      </c>
      <c r="W191" s="27">
        <v>106</v>
      </c>
      <c r="X191" s="29">
        <f t="shared" si="113"/>
        <v>200</v>
      </c>
      <c r="Y191" s="27" t="s">
        <v>69</v>
      </c>
      <c r="Z191" s="27" t="s">
        <v>315</v>
      </c>
      <c r="AA191" s="29">
        <f t="shared" si="93"/>
        <v>5</v>
      </c>
      <c r="AB191" s="29">
        <f t="shared" si="94"/>
        <v>8</v>
      </c>
      <c r="AC191" s="29" t="str">
        <f t="shared" si="95"/>
        <v/>
      </c>
      <c r="AD191" s="29" t="str">
        <f t="shared" si="96"/>
        <v/>
      </c>
      <c r="AE191" s="29" t="str">
        <f t="shared" si="97"/>
        <v/>
      </c>
      <c r="AF191" s="29" t="str">
        <f t="shared" si="98"/>
        <v/>
      </c>
      <c r="AG191" s="27">
        <v>13</v>
      </c>
      <c r="AH191" s="27">
        <v>0</v>
      </c>
      <c r="AI191" s="27">
        <v>0</v>
      </c>
      <c r="AJ191" s="23" t="s">
        <v>59</v>
      </c>
      <c r="AK191" s="23" t="s">
        <v>63</v>
      </c>
      <c r="AL191" s="30" t="s">
        <v>64</v>
      </c>
      <c r="AN191" s="31" t="str">
        <f t="shared" si="115"/>
        <v>2 doors</v>
      </c>
      <c r="AO191" s="23" t="s">
        <v>66</v>
      </c>
      <c r="AP191" s="23" t="s">
        <v>71</v>
      </c>
      <c r="AQ191" s="23" t="s">
        <v>78</v>
      </c>
      <c r="AR191" s="34">
        <f t="shared" si="99"/>
        <v>6512</v>
      </c>
      <c r="AS191" s="23">
        <v>65</v>
      </c>
      <c r="AT191" s="23">
        <v>12</v>
      </c>
      <c r="AU191" s="23">
        <v>0</v>
      </c>
    </row>
    <row r="192" spans="1:47">
      <c r="A192" s="26" t="s">
        <v>62</v>
      </c>
      <c r="B192" s="23" t="s">
        <v>55</v>
      </c>
      <c r="C192" s="23">
        <v>2</v>
      </c>
      <c r="E192" s="23" t="s">
        <v>61</v>
      </c>
      <c r="F192" s="23" t="s">
        <v>100</v>
      </c>
      <c r="G192" s="27">
        <v>2014</v>
      </c>
      <c r="H192" s="27">
        <v>20</v>
      </c>
      <c r="I192" s="27">
        <v>25</v>
      </c>
      <c r="J192" s="27">
        <v>20</v>
      </c>
      <c r="K192" s="27">
        <v>14</v>
      </c>
      <c r="L192" s="27">
        <v>14</v>
      </c>
      <c r="P192" s="28">
        <f t="shared" si="90"/>
        <v>28</v>
      </c>
      <c r="Q192" s="28">
        <f t="shared" si="91"/>
        <v>27.751999999999999</v>
      </c>
      <c r="R192" s="28">
        <f t="shared" si="92"/>
        <v>27.541333333333338</v>
      </c>
      <c r="S192" s="27">
        <v>80</v>
      </c>
      <c r="T192" s="29">
        <f t="shared" si="114"/>
        <v>299.20000000000005</v>
      </c>
      <c r="U192" s="27">
        <v>220</v>
      </c>
      <c r="V192" s="27">
        <v>13</v>
      </c>
      <c r="W192" s="27">
        <v>106</v>
      </c>
      <c r="X192" s="29">
        <f t="shared" si="113"/>
        <v>200</v>
      </c>
      <c r="Y192" s="27" t="s">
        <v>102</v>
      </c>
      <c r="Z192" s="27" t="s">
        <v>102</v>
      </c>
      <c r="AA192" s="29">
        <f t="shared" si="93"/>
        <v>5</v>
      </c>
      <c r="AB192" s="29">
        <f t="shared" si="94"/>
        <v>8</v>
      </c>
      <c r="AC192" s="29" t="str">
        <f t="shared" si="95"/>
        <v/>
      </c>
      <c r="AD192" s="29" t="str">
        <f t="shared" si="96"/>
        <v/>
      </c>
      <c r="AE192" s="29" t="str">
        <f t="shared" si="97"/>
        <v/>
      </c>
      <c r="AF192" s="29" t="str">
        <f t="shared" si="98"/>
        <v/>
      </c>
      <c r="AG192" s="27">
        <v>13</v>
      </c>
      <c r="AH192" s="27">
        <v>0</v>
      </c>
      <c r="AI192" s="27">
        <v>0</v>
      </c>
      <c r="AJ192" s="23" t="s">
        <v>59</v>
      </c>
      <c r="AK192" s="23" t="s">
        <v>63</v>
      </c>
      <c r="AL192" s="30" t="s">
        <v>64</v>
      </c>
      <c r="AN192" s="31" t="str">
        <f t="shared" si="115"/>
        <v>2 doors</v>
      </c>
      <c r="AO192" s="23" t="s">
        <v>66</v>
      </c>
      <c r="AP192" s="23" t="s">
        <v>71</v>
      </c>
      <c r="AQ192" s="23" t="s">
        <v>78</v>
      </c>
      <c r="AR192" s="34">
        <f t="shared" si="99"/>
        <v>6512.01</v>
      </c>
      <c r="AS192" s="23">
        <v>65</v>
      </c>
      <c r="AT192" s="23">
        <v>12</v>
      </c>
      <c r="AU192" s="23">
        <v>1</v>
      </c>
    </row>
    <row r="193" spans="1:47">
      <c r="A193" s="26" t="s">
        <v>75</v>
      </c>
      <c r="B193" s="23" t="s">
        <v>55</v>
      </c>
      <c r="C193" s="23">
        <v>2</v>
      </c>
      <c r="E193" s="23" t="s">
        <v>76</v>
      </c>
      <c r="F193" s="23" t="s">
        <v>24</v>
      </c>
      <c r="G193" s="27">
        <v>2018</v>
      </c>
      <c r="H193" s="27">
        <v>20</v>
      </c>
      <c r="I193" s="27">
        <v>25</v>
      </c>
      <c r="J193" s="27">
        <v>20</v>
      </c>
      <c r="K193" s="27">
        <v>14</v>
      </c>
      <c r="L193" s="27">
        <v>14</v>
      </c>
      <c r="P193" s="28">
        <f t="shared" si="90"/>
        <v>28</v>
      </c>
      <c r="Q193" s="28">
        <f t="shared" si="91"/>
        <v>37.25</v>
      </c>
      <c r="R193" s="28">
        <f t="shared" si="92"/>
        <v>19.943333333333335</v>
      </c>
      <c r="S193" s="27">
        <v>80</v>
      </c>
      <c r="T193" s="29">
        <f t="shared" si="114"/>
        <v>340</v>
      </c>
      <c r="U193" s="27">
        <v>250</v>
      </c>
      <c r="V193" s="27">
        <v>13</v>
      </c>
      <c r="W193" s="27">
        <v>88</v>
      </c>
      <c r="X193" s="29">
        <f t="shared" si="113"/>
        <v>200</v>
      </c>
      <c r="Y193" s="27" t="s">
        <v>69</v>
      </c>
      <c r="Z193" s="27" t="s">
        <v>315</v>
      </c>
      <c r="AA193" s="29">
        <f t="shared" si="93"/>
        <v>5</v>
      </c>
      <c r="AB193" s="29">
        <f t="shared" si="94"/>
        <v>8</v>
      </c>
      <c r="AC193" s="29" t="str">
        <f t="shared" si="95"/>
        <v/>
      </c>
      <c r="AD193" s="29" t="str">
        <f t="shared" si="96"/>
        <v/>
      </c>
      <c r="AE193" s="29" t="str">
        <f t="shared" si="97"/>
        <v/>
      </c>
      <c r="AF193" s="29" t="str">
        <f t="shared" si="98"/>
        <v/>
      </c>
      <c r="AG193" s="27">
        <v>13</v>
      </c>
      <c r="AH193" s="27">
        <v>0</v>
      </c>
      <c r="AI193" s="27">
        <v>0</v>
      </c>
      <c r="AJ193" s="23" t="s">
        <v>59</v>
      </c>
      <c r="AK193" s="23" t="s">
        <v>63</v>
      </c>
      <c r="AL193" s="30" t="s">
        <v>64</v>
      </c>
      <c r="AN193" s="31" t="str">
        <f t="shared" si="115"/>
        <v>2 doors</v>
      </c>
      <c r="AO193" s="23" t="s">
        <v>66</v>
      </c>
      <c r="AP193" s="23" t="s">
        <v>71</v>
      </c>
      <c r="AQ193" s="23" t="s">
        <v>78</v>
      </c>
      <c r="AR193" s="34">
        <f t="shared" si="99"/>
        <v>6513</v>
      </c>
      <c r="AS193" s="23">
        <v>65</v>
      </c>
      <c r="AT193" s="23">
        <v>13</v>
      </c>
      <c r="AU193" s="23">
        <v>0</v>
      </c>
    </row>
    <row r="194" spans="1:47">
      <c r="A194" s="26" t="s">
        <v>75</v>
      </c>
      <c r="B194" s="23" t="s">
        <v>55</v>
      </c>
      <c r="C194" s="23">
        <v>2</v>
      </c>
      <c r="E194" s="23" t="s">
        <v>76</v>
      </c>
      <c r="F194" s="23" t="s">
        <v>24</v>
      </c>
      <c r="G194" s="27">
        <v>2018</v>
      </c>
      <c r="H194" s="27">
        <v>20</v>
      </c>
      <c r="I194" s="27">
        <v>25</v>
      </c>
      <c r="J194" s="27">
        <v>20</v>
      </c>
      <c r="K194" s="27">
        <v>14</v>
      </c>
      <c r="L194" s="27">
        <v>14</v>
      </c>
      <c r="P194" s="28">
        <f t="shared" si="90"/>
        <v>28</v>
      </c>
      <c r="Q194" s="28">
        <f t="shared" si="91"/>
        <v>37.25</v>
      </c>
      <c r="R194" s="28">
        <f t="shared" si="92"/>
        <v>19.943333333333335</v>
      </c>
      <c r="S194" s="27">
        <v>80</v>
      </c>
      <c r="T194" s="29">
        <f t="shared" si="114"/>
        <v>340</v>
      </c>
      <c r="U194" s="27">
        <v>250</v>
      </c>
      <c r="V194" s="27">
        <v>13</v>
      </c>
      <c r="W194" s="27">
        <v>88</v>
      </c>
      <c r="X194" s="29">
        <f t="shared" si="113"/>
        <v>200</v>
      </c>
      <c r="Y194" s="27" t="s">
        <v>102</v>
      </c>
      <c r="Z194" s="27" t="s">
        <v>102</v>
      </c>
      <c r="AA194" s="29">
        <f t="shared" si="93"/>
        <v>5</v>
      </c>
      <c r="AB194" s="29">
        <f t="shared" si="94"/>
        <v>8</v>
      </c>
      <c r="AC194" s="29" t="str">
        <f t="shared" si="95"/>
        <v/>
      </c>
      <c r="AD194" s="29" t="str">
        <f t="shared" si="96"/>
        <v/>
      </c>
      <c r="AE194" s="29" t="str">
        <f t="shared" si="97"/>
        <v/>
      </c>
      <c r="AF194" s="29" t="str">
        <f t="shared" si="98"/>
        <v/>
      </c>
      <c r="AG194" s="27">
        <v>13</v>
      </c>
      <c r="AH194" s="27">
        <v>0</v>
      </c>
      <c r="AI194" s="27">
        <v>0</v>
      </c>
      <c r="AJ194" s="23" t="s">
        <v>59</v>
      </c>
      <c r="AK194" s="23" t="s">
        <v>63</v>
      </c>
      <c r="AL194" s="30" t="s">
        <v>64</v>
      </c>
      <c r="AN194" s="31" t="str">
        <f t="shared" si="115"/>
        <v>2 doors</v>
      </c>
      <c r="AO194" s="23" t="s">
        <v>66</v>
      </c>
      <c r="AP194" s="23" t="s">
        <v>71</v>
      </c>
      <c r="AQ194" s="23" t="s">
        <v>78</v>
      </c>
      <c r="AR194" s="34">
        <f t="shared" si="99"/>
        <v>6513.01</v>
      </c>
      <c r="AS194" s="23">
        <v>65</v>
      </c>
      <c r="AT194" s="23">
        <v>13</v>
      </c>
      <c r="AU194" s="23">
        <v>1</v>
      </c>
    </row>
    <row r="195" spans="1:47">
      <c r="A195" s="26" t="s">
        <v>62</v>
      </c>
      <c r="B195" s="23" t="s">
        <v>77</v>
      </c>
      <c r="C195" s="23">
        <v>4</v>
      </c>
      <c r="E195" s="23" t="s">
        <v>60</v>
      </c>
      <c r="F195" s="23" t="s">
        <v>11</v>
      </c>
      <c r="G195" s="27">
        <v>2012</v>
      </c>
      <c r="H195" s="27">
        <v>20</v>
      </c>
      <c r="I195" s="27">
        <v>25</v>
      </c>
      <c r="J195" s="27">
        <v>20</v>
      </c>
      <c r="K195" s="27">
        <v>14</v>
      </c>
      <c r="L195" s="27">
        <v>14</v>
      </c>
      <c r="M195" s="27">
        <v>14</v>
      </c>
      <c r="N195" s="27">
        <v>14</v>
      </c>
      <c r="P195" s="28">
        <f t="shared" si="90"/>
        <v>56</v>
      </c>
      <c r="Q195" s="28">
        <f t="shared" si="91"/>
        <v>30.68</v>
      </c>
      <c r="R195" s="28">
        <f t="shared" si="92"/>
        <v>42.24666666666667</v>
      </c>
      <c r="S195" s="27">
        <v>80</v>
      </c>
      <c r="T195" s="29">
        <f t="shared" ref="T195:T226" si="116">U195*1.36</f>
        <v>353.6</v>
      </c>
      <c r="U195" s="27">
        <v>260</v>
      </c>
      <c r="V195" s="27">
        <v>18</v>
      </c>
      <c r="W195" s="27">
        <v>163</v>
      </c>
      <c r="X195" s="29">
        <f t="shared" si="113"/>
        <v>200</v>
      </c>
      <c r="Y195" s="27" t="s">
        <v>69</v>
      </c>
      <c r="Z195" s="27" t="s">
        <v>315</v>
      </c>
      <c r="AA195" s="29">
        <f t="shared" si="93"/>
        <v>3</v>
      </c>
      <c r="AB195" s="29">
        <f t="shared" si="94"/>
        <v>8</v>
      </c>
      <c r="AC195" s="29">
        <f t="shared" si="95"/>
        <v>8</v>
      </c>
      <c r="AD195" s="29" t="str">
        <f t="shared" si="96"/>
        <v/>
      </c>
      <c r="AE195" s="29" t="str">
        <f t="shared" si="97"/>
        <v/>
      </c>
      <c r="AF195" s="29" t="str">
        <f t="shared" si="98"/>
        <v/>
      </c>
      <c r="AG195" s="27">
        <v>11</v>
      </c>
      <c r="AH195" s="27">
        <v>8</v>
      </c>
      <c r="AI195" s="27">
        <v>0</v>
      </c>
      <c r="AJ195" s="23" t="s">
        <v>59</v>
      </c>
      <c r="AK195" s="23" t="s">
        <v>63</v>
      </c>
      <c r="AL195" s="30" t="s">
        <v>64</v>
      </c>
      <c r="AM195" s="23" t="s">
        <v>77</v>
      </c>
      <c r="AN195" s="31" t="str">
        <f t="shared" ref="AN195:AN226" si="117">IF(O195&gt;0, "5 doors", IF(N195&gt;0, "4 doors", IF(M195&gt;0, "3 doors", IF(L195&gt;0, "2 doors", "1 door"))))</f>
        <v>4 doors</v>
      </c>
      <c r="AO195" s="23" t="s">
        <v>85</v>
      </c>
      <c r="AP195" s="23" t="s">
        <v>71</v>
      </c>
      <c r="AQ195" s="23" t="s">
        <v>78</v>
      </c>
      <c r="AR195" s="34">
        <f t="shared" si="99"/>
        <v>6514</v>
      </c>
      <c r="AS195" s="23">
        <v>65</v>
      </c>
      <c r="AT195" s="23">
        <v>14</v>
      </c>
      <c r="AU195" s="23">
        <v>0</v>
      </c>
    </row>
    <row r="196" spans="1:47">
      <c r="A196" s="26" t="s">
        <v>62</v>
      </c>
      <c r="B196" s="23" t="s">
        <v>77</v>
      </c>
      <c r="C196" s="23">
        <v>4</v>
      </c>
      <c r="E196" s="23" t="s">
        <v>60</v>
      </c>
      <c r="F196" s="23" t="s">
        <v>11</v>
      </c>
      <c r="G196" s="27">
        <v>2012</v>
      </c>
      <c r="H196" s="27">
        <v>20</v>
      </c>
      <c r="I196" s="27">
        <v>25</v>
      </c>
      <c r="J196" s="27">
        <v>20</v>
      </c>
      <c r="K196" s="27">
        <v>14</v>
      </c>
      <c r="L196" s="27">
        <v>14</v>
      </c>
      <c r="M196" s="27">
        <v>14</v>
      </c>
      <c r="N196" s="27">
        <v>14</v>
      </c>
      <c r="P196" s="28">
        <f t="shared" si="90"/>
        <v>56</v>
      </c>
      <c r="Q196" s="28">
        <f t="shared" si="91"/>
        <v>30.68</v>
      </c>
      <c r="R196" s="28">
        <f t="shared" si="92"/>
        <v>42.24666666666667</v>
      </c>
      <c r="S196" s="27">
        <v>80</v>
      </c>
      <c r="T196" s="29">
        <f t="shared" si="116"/>
        <v>353.6</v>
      </c>
      <c r="U196" s="27">
        <v>260</v>
      </c>
      <c r="V196" s="27">
        <v>18</v>
      </c>
      <c r="W196" s="27">
        <v>163</v>
      </c>
      <c r="X196" s="29">
        <f t="shared" si="113"/>
        <v>200</v>
      </c>
      <c r="Y196" s="27" t="s">
        <v>102</v>
      </c>
      <c r="Z196" s="27" t="s">
        <v>102</v>
      </c>
      <c r="AA196" s="29">
        <f t="shared" si="93"/>
        <v>3</v>
      </c>
      <c r="AB196" s="29">
        <f t="shared" si="94"/>
        <v>8</v>
      </c>
      <c r="AC196" s="29">
        <f t="shared" si="95"/>
        <v>8</v>
      </c>
      <c r="AD196" s="29" t="str">
        <f t="shared" si="96"/>
        <v/>
      </c>
      <c r="AE196" s="29" t="str">
        <f t="shared" si="97"/>
        <v/>
      </c>
      <c r="AF196" s="29" t="str">
        <f t="shared" si="98"/>
        <v/>
      </c>
      <c r="AG196" s="27">
        <v>11</v>
      </c>
      <c r="AH196" s="27">
        <v>8</v>
      </c>
      <c r="AI196" s="27">
        <v>0</v>
      </c>
      <c r="AJ196" s="23" t="s">
        <v>59</v>
      </c>
      <c r="AK196" s="23" t="s">
        <v>63</v>
      </c>
      <c r="AL196" s="30" t="s">
        <v>64</v>
      </c>
      <c r="AM196" s="23" t="s">
        <v>77</v>
      </c>
      <c r="AN196" s="31" t="str">
        <f t="shared" si="117"/>
        <v>4 doors</v>
      </c>
      <c r="AO196" s="23" t="s">
        <v>85</v>
      </c>
      <c r="AP196" s="23" t="s">
        <v>71</v>
      </c>
      <c r="AQ196" s="23" t="s">
        <v>78</v>
      </c>
      <c r="AR196" s="34">
        <f t="shared" si="99"/>
        <v>6514.01</v>
      </c>
      <c r="AS196" s="23">
        <v>65</v>
      </c>
      <c r="AT196" s="23">
        <v>14</v>
      </c>
      <c r="AU196" s="23">
        <v>1</v>
      </c>
    </row>
    <row r="197" spans="1:47">
      <c r="A197" s="26" t="s">
        <v>62</v>
      </c>
      <c r="B197" s="23" t="s">
        <v>77</v>
      </c>
      <c r="C197" s="23">
        <v>4</v>
      </c>
      <c r="E197" s="23" t="s">
        <v>61</v>
      </c>
      <c r="F197" s="23" t="s">
        <v>12</v>
      </c>
      <c r="G197" s="27">
        <v>2014</v>
      </c>
      <c r="H197" s="27">
        <v>20</v>
      </c>
      <c r="I197" s="27">
        <v>25</v>
      </c>
      <c r="J197" s="27">
        <v>20</v>
      </c>
      <c r="K197" s="27">
        <v>14</v>
      </c>
      <c r="L197" s="27">
        <v>14</v>
      </c>
      <c r="M197" s="27">
        <v>14</v>
      </c>
      <c r="N197" s="27">
        <v>14</v>
      </c>
      <c r="P197" s="28">
        <f t="shared" si="90"/>
        <v>56</v>
      </c>
      <c r="Q197" s="28">
        <f t="shared" si="91"/>
        <v>33.352000000000004</v>
      </c>
      <c r="R197" s="28">
        <f t="shared" si="92"/>
        <v>30.32533333333334</v>
      </c>
      <c r="S197" s="27">
        <v>80</v>
      </c>
      <c r="T197" s="29">
        <f t="shared" si="116"/>
        <v>299.20000000000005</v>
      </c>
      <c r="U197" s="27">
        <v>220</v>
      </c>
      <c r="V197" s="27">
        <v>19</v>
      </c>
      <c r="W197" s="27">
        <v>163</v>
      </c>
      <c r="X197" s="29">
        <f t="shared" si="113"/>
        <v>200</v>
      </c>
      <c r="Y197" s="27" t="s">
        <v>69</v>
      </c>
      <c r="Z197" s="27" t="s">
        <v>315</v>
      </c>
      <c r="AA197" s="29">
        <f t="shared" si="93"/>
        <v>3</v>
      </c>
      <c r="AB197" s="29">
        <f t="shared" si="94"/>
        <v>8</v>
      </c>
      <c r="AC197" s="29">
        <f t="shared" si="95"/>
        <v>8</v>
      </c>
      <c r="AD197" s="29" t="str">
        <f t="shared" si="96"/>
        <v/>
      </c>
      <c r="AE197" s="29" t="str">
        <f t="shared" si="97"/>
        <v/>
      </c>
      <c r="AF197" s="29" t="str">
        <f t="shared" si="98"/>
        <v/>
      </c>
      <c r="AG197" s="27">
        <v>11</v>
      </c>
      <c r="AH197" s="27">
        <v>8</v>
      </c>
      <c r="AI197" s="27">
        <v>0</v>
      </c>
      <c r="AJ197" s="23" t="s">
        <v>59</v>
      </c>
      <c r="AK197" s="23" t="s">
        <v>63</v>
      </c>
      <c r="AL197" s="30" t="s">
        <v>64</v>
      </c>
      <c r="AM197" s="23" t="s">
        <v>77</v>
      </c>
      <c r="AN197" s="31" t="str">
        <f t="shared" si="117"/>
        <v>4 doors</v>
      </c>
      <c r="AO197" s="23" t="s">
        <v>85</v>
      </c>
      <c r="AP197" s="23" t="s">
        <v>71</v>
      </c>
      <c r="AQ197" s="23" t="s">
        <v>78</v>
      </c>
      <c r="AR197" s="34">
        <f t="shared" si="99"/>
        <v>6515</v>
      </c>
      <c r="AS197" s="23">
        <v>65</v>
      </c>
      <c r="AT197" s="23">
        <v>15</v>
      </c>
      <c r="AU197" s="23">
        <v>0</v>
      </c>
    </row>
    <row r="198" spans="1:47">
      <c r="A198" s="26" t="s">
        <v>62</v>
      </c>
      <c r="B198" s="23" t="s">
        <v>77</v>
      </c>
      <c r="C198" s="23">
        <v>4</v>
      </c>
      <c r="E198" s="23" t="s">
        <v>61</v>
      </c>
      <c r="F198" s="23" t="s">
        <v>12</v>
      </c>
      <c r="G198" s="27">
        <v>2014</v>
      </c>
      <c r="H198" s="27">
        <v>20</v>
      </c>
      <c r="I198" s="27">
        <v>25</v>
      </c>
      <c r="J198" s="27">
        <v>20</v>
      </c>
      <c r="K198" s="27">
        <v>14</v>
      </c>
      <c r="L198" s="27">
        <v>14</v>
      </c>
      <c r="M198" s="27">
        <v>14</v>
      </c>
      <c r="N198" s="27">
        <v>14</v>
      </c>
      <c r="P198" s="28">
        <f t="shared" si="90"/>
        <v>56</v>
      </c>
      <c r="Q198" s="28">
        <f t="shared" si="91"/>
        <v>33.352000000000004</v>
      </c>
      <c r="R198" s="28">
        <f t="shared" si="92"/>
        <v>30.32533333333334</v>
      </c>
      <c r="S198" s="27">
        <v>80</v>
      </c>
      <c r="T198" s="29">
        <f t="shared" si="116"/>
        <v>299.20000000000005</v>
      </c>
      <c r="U198" s="27">
        <v>220</v>
      </c>
      <c r="V198" s="27">
        <v>19</v>
      </c>
      <c r="W198" s="27">
        <v>163</v>
      </c>
      <c r="X198" s="29">
        <f t="shared" si="113"/>
        <v>200</v>
      </c>
      <c r="Y198" s="27" t="s">
        <v>102</v>
      </c>
      <c r="Z198" s="27" t="s">
        <v>102</v>
      </c>
      <c r="AA198" s="29">
        <f t="shared" si="93"/>
        <v>3</v>
      </c>
      <c r="AB198" s="29">
        <f t="shared" si="94"/>
        <v>8</v>
      </c>
      <c r="AC198" s="29">
        <f t="shared" si="95"/>
        <v>8</v>
      </c>
      <c r="AD198" s="29" t="str">
        <f t="shared" si="96"/>
        <v/>
      </c>
      <c r="AE198" s="29" t="str">
        <f t="shared" si="97"/>
        <v/>
      </c>
      <c r="AF198" s="29" t="str">
        <f t="shared" si="98"/>
        <v/>
      </c>
      <c r="AG198" s="27">
        <v>11</v>
      </c>
      <c r="AH198" s="27">
        <v>8</v>
      </c>
      <c r="AI198" s="27">
        <v>0</v>
      </c>
      <c r="AJ198" s="23" t="s">
        <v>59</v>
      </c>
      <c r="AK198" s="23" t="s">
        <v>63</v>
      </c>
      <c r="AL198" s="30" t="s">
        <v>64</v>
      </c>
      <c r="AM198" s="23" t="s">
        <v>77</v>
      </c>
      <c r="AN198" s="31" t="str">
        <f t="shared" si="117"/>
        <v>4 doors</v>
      </c>
      <c r="AO198" s="23" t="s">
        <v>85</v>
      </c>
      <c r="AP198" s="23" t="s">
        <v>71</v>
      </c>
      <c r="AQ198" s="23" t="s">
        <v>78</v>
      </c>
      <c r="AR198" s="34">
        <f t="shared" si="99"/>
        <v>6515.01</v>
      </c>
      <c r="AS198" s="23">
        <v>65</v>
      </c>
      <c r="AT198" s="23">
        <v>15</v>
      </c>
      <c r="AU198" s="23">
        <v>1</v>
      </c>
    </row>
    <row r="199" spans="1:47">
      <c r="A199" s="26" t="s">
        <v>75</v>
      </c>
      <c r="B199" s="23" t="s">
        <v>77</v>
      </c>
      <c r="C199" s="23">
        <v>4</v>
      </c>
      <c r="E199" s="23" t="s">
        <v>76</v>
      </c>
      <c r="F199" s="23" t="s">
        <v>25</v>
      </c>
      <c r="G199" s="27">
        <v>2020</v>
      </c>
      <c r="H199" s="27">
        <v>20</v>
      </c>
      <c r="I199" s="27">
        <v>25</v>
      </c>
      <c r="J199" s="27">
        <v>20</v>
      </c>
      <c r="K199" s="27">
        <v>14</v>
      </c>
      <c r="L199" s="27">
        <v>14</v>
      </c>
      <c r="M199" s="27">
        <v>14</v>
      </c>
      <c r="N199" s="27">
        <v>14</v>
      </c>
      <c r="P199" s="28">
        <f t="shared" si="90"/>
        <v>56</v>
      </c>
      <c r="Q199" s="28">
        <f t="shared" si="91"/>
        <v>44.5</v>
      </c>
      <c r="R199" s="28">
        <f t="shared" si="92"/>
        <v>22.486666666666668</v>
      </c>
      <c r="S199" s="27">
        <v>80</v>
      </c>
      <c r="T199" s="29">
        <f t="shared" si="116"/>
        <v>340</v>
      </c>
      <c r="U199" s="27">
        <v>250</v>
      </c>
      <c r="V199" s="27">
        <v>20</v>
      </c>
      <c r="W199" s="27">
        <v>146</v>
      </c>
      <c r="X199" s="29">
        <f t="shared" si="113"/>
        <v>200</v>
      </c>
      <c r="Y199" s="27" t="s">
        <v>69</v>
      </c>
      <c r="Z199" s="27" t="s">
        <v>315</v>
      </c>
      <c r="AA199" s="29">
        <f t="shared" si="93"/>
        <v>3</v>
      </c>
      <c r="AB199" s="29">
        <f t="shared" si="94"/>
        <v>8</v>
      </c>
      <c r="AC199" s="29">
        <f t="shared" si="95"/>
        <v>8</v>
      </c>
      <c r="AD199" s="29" t="str">
        <f t="shared" si="96"/>
        <v/>
      </c>
      <c r="AE199" s="29" t="str">
        <f t="shared" si="97"/>
        <v/>
      </c>
      <c r="AF199" s="29" t="str">
        <f t="shared" si="98"/>
        <v/>
      </c>
      <c r="AG199" s="27">
        <v>11</v>
      </c>
      <c r="AH199" s="27">
        <v>8</v>
      </c>
      <c r="AI199" s="27">
        <v>0</v>
      </c>
      <c r="AJ199" s="23" t="s">
        <v>59</v>
      </c>
      <c r="AK199" s="23" t="s">
        <v>63</v>
      </c>
      <c r="AL199" s="30" t="s">
        <v>64</v>
      </c>
      <c r="AM199" s="23" t="s">
        <v>77</v>
      </c>
      <c r="AN199" s="31" t="str">
        <f t="shared" si="117"/>
        <v>4 doors</v>
      </c>
      <c r="AO199" s="23" t="s">
        <v>85</v>
      </c>
      <c r="AP199" s="23" t="s">
        <v>71</v>
      </c>
      <c r="AQ199" s="23" t="s">
        <v>78</v>
      </c>
      <c r="AR199" s="34">
        <f t="shared" si="99"/>
        <v>6516</v>
      </c>
      <c r="AS199" s="23">
        <v>65</v>
      </c>
      <c r="AT199" s="23">
        <v>16</v>
      </c>
      <c r="AU199" s="23">
        <v>0</v>
      </c>
    </row>
    <row r="200" spans="1:47">
      <c r="A200" s="26" t="s">
        <v>75</v>
      </c>
      <c r="B200" s="23" t="s">
        <v>77</v>
      </c>
      <c r="C200" s="23">
        <v>4</v>
      </c>
      <c r="E200" s="23" t="s">
        <v>76</v>
      </c>
      <c r="F200" s="23" t="s">
        <v>25</v>
      </c>
      <c r="G200" s="27">
        <v>2020</v>
      </c>
      <c r="H200" s="27">
        <v>20</v>
      </c>
      <c r="I200" s="27">
        <v>25</v>
      </c>
      <c r="J200" s="27">
        <v>20</v>
      </c>
      <c r="K200" s="27">
        <v>14</v>
      </c>
      <c r="L200" s="27">
        <v>14</v>
      </c>
      <c r="M200" s="27">
        <v>14</v>
      </c>
      <c r="N200" s="27">
        <v>14</v>
      </c>
      <c r="P200" s="28">
        <f t="shared" si="90"/>
        <v>56</v>
      </c>
      <c r="Q200" s="28">
        <f t="shared" si="91"/>
        <v>44.5</v>
      </c>
      <c r="R200" s="28">
        <f t="shared" si="92"/>
        <v>22.486666666666668</v>
      </c>
      <c r="S200" s="27">
        <v>80</v>
      </c>
      <c r="T200" s="29">
        <f t="shared" si="116"/>
        <v>340</v>
      </c>
      <c r="U200" s="27">
        <v>250</v>
      </c>
      <c r="V200" s="27">
        <v>20</v>
      </c>
      <c r="W200" s="27">
        <v>146</v>
      </c>
      <c r="X200" s="29">
        <f t="shared" si="113"/>
        <v>200</v>
      </c>
      <c r="Y200" s="27" t="s">
        <v>102</v>
      </c>
      <c r="Z200" s="27" t="s">
        <v>102</v>
      </c>
      <c r="AA200" s="29">
        <f t="shared" si="93"/>
        <v>3</v>
      </c>
      <c r="AB200" s="29">
        <f t="shared" si="94"/>
        <v>8</v>
      </c>
      <c r="AC200" s="29">
        <f t="shared" si="95"/>
        <v>8</v>
      </c>
      <c r="AD200" s="29" t="str">
        <f t="shared" si="96"/>
        <v/>
      </c>
      <c r="AE200" s="29" t="str">
        <f t="shared" si="97"/>
        <v/>
      </c>
      <c r="AF200" s="29" t="str">
        <f t="shared" si="98"/>
        <v/>
      </c>
      <c r="AG200" s="27">
        <v>11</v>
      </c>
      <c r="AH200" s="27">
        <v>8</v>
      </c>
      <c r="AI200" s="27">
        <v>0</v>
      </c>
      <c r="AJ200" s="23" t="s">
        <v>59</v>
      </c>
      <c r="AK200" s="23" t="s">
        <v>63</v>
      </c>
      <c r="AL200" s="30" t="s">
        <v>64</v>
      </c>
      <c r="AM200" s="23" t="s">
        <v>77</v>
      </c>
      <c r="AN200" s="31" t="str">
        <f t="shared" si="117"/>
        <v>4 doors</v>
      </c>
      <c r="AO200" s="23" t="s">
        <v>85</v>
      </c>
      <c r="AP200" s="23" t="s">
        <v>71</v>
      </c>
      <c r="AQ200" s="23" t="s">
        <v>78</v>
      </c>
      <c r="AR200" s="34">
        <f t="shared" si="99"/>
        <v>6516.01</v>
      </c>
      <c r="AS200" s="23">
        <v>65</v>
      </c>
      <c r="AT200" s="23">
        <v>16</v>
      </c>
      <c r="AU200" s="23">
        <v>1</v>
      </c>
    </row>
    <row r="201" spans="1:47">
      <c r="A201" s="26" t="s">
        <v>75</v>
      </c>
      <c r="B201" s="23" t="s">
        <v>77</v>
      </c>
      <c r="C201" s="23">
        <v>4</v>
      </c>
      <c r="E201" s="23" t="s">
        <v>76</v>
      </c>
      <c r="F201" s="23" t="s">
        <v>25</v>
      </c>
      <c r="G201" s="27">
        <v>2020</v>
      </c>
      <c r="H201" s="27">
        <v>20</v>
      </c>
      <c r="I201" s="27">
        <v>25</v>
      </c>
      <c r="J201" s="27">
        <v>20</v>
      </c>
      <c r="K201" s="27">
        <v>14</v>
      </c>
      <c r="L201" s="27">
        <v>14</v>
      </c>
      <c r="M201" s="27">
        <v>14</v>
      </c>
      <c r="N201" s="27">
        <v>14</v>
      </c>
      <c r="P201" s="28">
        <f t="shared" si="90"/>
        <v>56</v>
      </c>
      <c r="Q201" s="28">
        <f t="shared" si="91"/>
        <v>44.5</v>
      </c>
      <c r="R201" s="28">
        <f t="shared" si="92"/>
        <v>22.486666666666668</v>
      </c>
      <c r="S201" s="27">
        <v>80</v>
      </c>
      <c r="T201" s="29">
        <f t="shared" si="116"/>
        <v>340</v>
      </c>
      <c r="U201" s="27">
        <v>250</v>
      </c>
      <c r="V201" s="27">
        <v>20</v>
      </c>
      <c r="W201" s="27">
        <v>146</v>
      </c>
      <c r="X201" s="29">
        <f t="shared" si="113"/>
        <v>200</v>
      </c>
      <c r="Y201" s="27" t="s">
        <v>113</v>
      </c>
      <c r="Z201" s="27" t="s">
        <v>113</v>
      </c>
      <c r="AA201" s="29">
        <f t="shared" si="93"/>
        <v>3</v>
      </c>
      <c r="AB201" s="29">
        <f t="shared" si="94"/>
        <v>8</v>
      </c>
      <c r="AC201" s="29">
        <f t="shared" si="95"/>
        <v>8</v>
      </c>
      <c r="AD201" s="29" t="str">
        <f t="shared" si="96"/>
        <v/>
      </c>
      <c r="AE201" s="29" t="str">
        <f t="shared" si="97"/>
        <v/>
      </c>
      <c r="AF201" s="29" t="str">
        <f t="shared" si="98"/>
        <v/>
      </c>
      <c r="AG201" s="27">
        <v>11</v>
      </c>
      <c r="AH201" s="27">
        <v>8</v>
      </c>
      <c r="AI201" s="27">
        <v>0</v>
      </c>
      <c r="AJ201" s="23" t="s">
        <v>59</v>
      </c>
      <c r="AK201" s="23" t="s">
        <v>63</v>
      </c>
      <c r="AL201" s="30" t="s">
        <v>64</v>
      </c>
      <c r="AM201" s="23" t="s">
        <v>77</v>
      </c>
      <c r="AN201" s="31" t="str">
        <f t="shared" si="117"/>
        <v>4 doors</v>
      </c>
      <c r="AO201" s="23" t="s">
        <v>85</v>
      </c>
      <c r="AP201" s="23" t="s">
        <v>71</v>
      </c>
      <c r="AQ201" s="23" t="s">
        <v>188</v>
      </c>
      <c r="AR201" s="34">
        <f t="shared" si="99"/>
        <v>6516.02</v>
      </c>
      <c r="AS201" s="23">
        <v>65</v>
      </c>
      <c r="AT201" s="23">
        <v>16</v>
      </c>
      <c r="AU201" s="23">
        <v>2</v>
      </c>
    </row>
    <row r="202" spans="1:47" s="35" customFormat="1">
      <c r="A202" s="26" t="s">
        <v>75</v>
      </c>
      <c r="B202" s="23" t="s">
        <v>77</v>
      </c>
      <c r="C202" s="23">
        <v>4</v>
      </c>
      <c r="D202" s="23"/>
      <c r="E202" s="23" t="s">
        <v>76</v>
      </c>
      <c r="F202" s="23" t="s">
        <v>25</v>
      </c>
      <c r="G202" s="27">
        <v>2020</v>
      </c>
      <c r="H202" s="27">
        <v>20</v>
      </c>
      <c r="I202" s="27">
        <v>25</v>
      </c>
      <c r="J202" s="27">
        <v>20</v>
      </c>
      <c r="K202" s="27">
        <v>14</v>
      </c>
      <c r="L202" s="27">
        <v>14</v>
      </c>
      <c r="M202" s="27">
        <v>14</v>
      </c>
      <c r="N202" s="27">
        <v>14</v>
      </c>
      <c r="O202" s="27"/>
      <c r="P202" s="28">
        <f t="shared" si="90"/>
        <v>56</v>
      </c>
      <c r="Q202" s="28">
        <f t="shared" si="91"/>
        <v>44.5</v>
      </c>
      <c r="R202" s="28">
        <f t="shared" si="92"/>
        <v>22.486666666666668</v>
      </c>
      <c r="S202" s="27">
        <v>80</v>
      </c>
      <c r="T202" s="29">
        <f t="shared" si="116"/>
        <v>340</v>
      </c>
      <c r="U202" s="27">
        <v>250</v>
      </c>
      <c r="V202" s="27">
        <v>20</v>
      </c>
      <c r="W202" s="27">
        <v>146</v>
      </c>
      <c r="X202" s="29">
        <f t="shared" si="113"/>
        <v>200</v>
      </c>
      <c r="Y202" s="27" t="s">
        <v>108</v>
      </c>
      <c r="Z202" s="27" t="s">
        <v>108</v>
      </c>
      <c r="AA202" s="29">
        <f t="shared" si="93"/>
        <v>3</v>
      </c>
      <c r="AB202" s="29">
        <f t="shared" si="94"/>
        <v>8</v>
      </c>
      <c r="AC202" s="29">
        <f t="shared" si="95"/>
        <v>8</v>
      </c>
      <c r="AD202" s="29" t="str">
        <f t="shared" si="96"/>
        <v/>
      </c>
      <c r="AE202" s="29" t="str">
        <f t="shared" si="97"/>
        <v/>
      </c>
      <c r="AF202" s="29" t="str">
        <f t="shared" si="98"/>
        <v/>
      </c>
      <c r="AG202" s="27">
        <v>11</v>
      </c>
      <c r="AH202" s="27">
        <v>8</v>
      </c>
      <c r="AI202" s="27">
        <v>0</v>
      </c>
      <c r="AJ202" s="23" t="s">
        <v>59</v>
      </c>
      <c r="AK202" s="23" t="s">
        <v>63</v>
      </c>
      <c r="AL202" s="30" t="s">
        <v>64</v>
      </c>
      <c r="AM202" s="23" t="s">
        <v>77</v>
      </c>
      <c r="AN202" s="31" t="str">
        <f t="shared" si="117"/>
        <v>4 doors</v>
      </c>
      <c r="AO202" s="23" t="s">
        <v>85</v>
      </c>
      <c r="AP202" s="23" t="s">
        <v>71</v>
      </c>
      <c r="AQ202" s="23" t="s">
        <v>188</v>
      </c>
      <c r="AR202" s="34">
        <f t="shared" si="99"/>
        <v>6516.03</v>
      </c>
      <c r="AS202" s="23">
        <v>65</v>
      </c>
      <c r="AT202" s="23">
        <v>16</v>
      </c>
      <c r="AU202" s="23">
        <v>3</v>
      </c>
    </row>
    <row r="203" spans="1:47" s="35" customFormat="1">
      <c r="A203" s="26" t="s">
        <v>62</v>
      </c>
      <c r="B203" s="23" t="s">
        <v>77</v>
      </c>
      <c r="C203" s="23">
        <v>3</v>
      </c>
      <c r="D203" s="23"/>
      <c r="E203" s="23" t="s">
        <v>60</v>
      </c>
      <c r="F203" s="23" t="s">
        <v>19</v>
      </c>
      <c r="G203" s="27">
        <v>2012</v>
      </c>
      <c r="H203" s="27">
        <v>20</v>
      </c>
      <c r="I203" s="27">
        <v>25</v>
      </c>
      <c r="J203" s="27">
        <v>20</v>
      </c>
      <c r="K203" s="27">
        <v>14</v>
      </c>
      <c r="L203" s="27">
        <v>14</v>
      </c>
      <c r="M203" s="27">
        <v>14</v>
      </c>
      <c r="N203" s="27"/>
      <c r="O203" s="27"/>
      <c r="P203" s="28">
        <f t="shared" si="90"/>
        <v>42</v>
      </c>
      <c r="Q203" s="28">
        <f t="shared" si="91"/>
        <v>29.68</v>
      </c>
      <c r="R203" s="28">
        <f t="shared" si="92"/>
        <v>41.24666666666667</v>
      </c>
      <c r="S203" s="27">
        <v>80</v>
      </c>
      <c r="T203" s="29">
        <f t="shared" si="116"/>
        <v>353.6</v>
      </c>
      <c r="U203" s="27">
        <v>260</v>
      </c>
      <c r="V203" s="27">
        <v>18</v>
      </c>
      <c r="W203" s="27">
        <v>163</v>
      </c>
      <c r="X203" s="29">
        <f t="shared" si="113"/>
        <v>200</v>
      </c>
      <c r="Y203" s="27" t="s">
        <v>69</v>
      </c>
      <c r="Z203" s="27" t="s">
        <v>315</v>
      </c>
      <c r="AA203" s="29">
        <f t="shared" si="93"/>
        <v>3</v>
      </c>
      <c r="AB203" s="29">
        <f t="shared" si="94"/>
        <v>8</v>
      </c>
      <c r="AC203" s="29">
        <f t="shared" si="95"/>
        <v>8</v>
      </c>
      <c r="AD203" s="29" t="str">
        <f t="shared" si="96"/>
        <v/>
      </c>
      <c r="AE203" s="29" t="str">
        <f t="shared" si="97"/>
        <v/>
      </c>
      <c r="AF203" s="29" t="str">
        <f t="shared" si="98"/>
        <v/>
      </c>
      <c r="AG203" s="27">
        <v>11</v>
      </c>
      <c r="AH203" s="27">
        <v>8</v>
      </c>
      <c r="AI203" s="27">
        <v>0</v>
      </c>
      <c r="AJ203" s="23" t="s">
        <v>59</v>
      </c>
      <c r="AK203" s="23" t="s">
        <v>63</v>
      </c>
      <c r="AL203" s="30" t="s">
        <v>64</v>
      </c>
      <c r="AM203" s="23" t="s">
        <v>77</v>
      </c>
      <c r="AN203" s="31" t="str">
        <f t="shared" si="117"/>
        <v>3 doors</v>
      </c>
      <c r="AO203" s="23" t="s">
        <v>85</v>
      </c>
      <c r="AP203" s="23" t="s">
        <v>71</v>
      </c>
      <c r="AQ203" s="23" t="s">
        <v>78</v>
      </c>
      <c r="AR203" s="34">
        <f t="shared" si="99"/>
        <v>6517</v>
      </c>
      <c r="AS203" s="23">
        <v>65</v>
      </c>
      <c r="AT203" s="23">
        <v>17</v>
      </c>
      <c r="AU203" s="23">
        <v>0</v>
      </c>
    </row>
    <row r="204" spans="1:47" s="35" customFormat="1">
      <c r="A204" s="26" t="s">
        <v>62</v>
      </c>
      <c r="B204" s="23" t="s">
        <v>77</v>
      </c>
      <c r="C204" s="23">
        <v>3</v>
      </c>
      <c r="D204" s="23"/>
      <c r="E204" s="23" t="s">
        <v>60</v>
      </c>
      <c r="F204" s="23" t="s">
        <v>19</v>
      </c>
      <c r="G204" s="27">
        <v>2012</v>
      </c>
      <c r="H204" s="27">
        <v>20</v>
      </c>
      <c r="I204" s="27">
        <v>25</v>
      </c>
      <c r="J204" s="27">
        <v>20</v>
      </c>
      <c r="K204" s="27">
        <v>14</v>
      </c>
      <c r="L204" s="27">
        <v>14</v>
      </c>
      <c r="M204" s="27">
        <v>14</v>
      </c>
      <c r="N204" s="27"/>
      <c r="O204" s="27"/>
      <c r="P204" s="28">
        <f t="shared" si="90"/>
        <v>42</v>
      </c>
      <c r="Q204" s="28">
        <f t="shared" si="91"/>
        <v>29.68</v>
      </c>
      <c r="R204" s="28">
        <f t="shared" si="92"/>
        <v>41.24666666666667</v>
      </c>
      <c r="S204" s="27">
        <v>80</v>
      </c>
      <c r="T204" s="29">
        <f t="shared" si="116"/>
        <v>353.6</v>
      </c>
      <c r="U204" s="27">
        <v>260</v>
      </c>
      <c r="V204" s="27">
        <v>18</v>
      </c>
      <c r="W204" s="27">
        <v>163</v>
      </c>
      <c r="X204" s="29">
        <f t="shared" si="113"/>
        <v>200</v>
      </c>
      <c r="Y204" s="27" t="s">
        <v>102</v>
      </c>
      <c r="Z204" s="27" t="s">
        <v>102</v>
      </c>
      <c r="AA204" s="29">
        <f t="shared" si="93"/>
        <v>3</v>
      </c>
      <c r="AB204" s="29">
        <f t="shared" si="94"/>
        <v>8</v>
      </c>
      <c r="AC204" s="29">
        <f t="shared" si="95"/>
        <v>8</v>
      </c>
      <c r="AD204" s="29" t="str">
        <f t="shared" si="96"/>
        <v/>
      </c>
      <c r="AE204" s="29" t="str">
        <f t="shared" si="97"/>
        <v/>
      </c>
      <c r="AF204" s="29" t="str">
        <f t="shared" si="98"/>
        <v/>
      </c>
      <c r="AG204" s="27">
        <v>11</v>
      </c>
      <c r="AH204" s="27">
        <v>8</v>
      </c>
      <c r="AI204" s="27">
        <v>0</v>
      </c>
      <c r="AJ204" s="23" t="s">
        <v>59</v>
      </c>
      <c r="AK204" s="23" t="s">
        <v>63</v>
      </c>
      <c r="AL204" s="30" t="s">
        <v>64</v>
      </c>
      <c r="AM204" s="23" t="s">
        <v>77</v>
      </c>
      <c r="AN204" s="31" t="str">
        <f t="shared" si="117"/>
        <v>3 doors</v>
      </c>
      <c r="AO204" s="23" t="s">
        <v>85</v>
      </c>
      <c r="AP204" s="23" t="s">
        <v>71</v>
      </c>
      <c r="AQ204" s="23" t="s">
        <v>78</v>
      </c>
      <c r="AR204" s="34">
        <f t="shared" si="99"/>
        <v>6517.01</v>
      </c>
      <c r="AS204" s="23">
        <v>65</v>
      </c>
      <c r="AT204" s="23">
        <v>17</v>
      </c>
      <c r="AU204" s="23">
        <v>1</v>
      </c>
    </row>
    <row r="205" spans="1:47" s="35" customFormat="1">
      <c r="A205" s="26" t="s">
        <v>62</v>
      </c>
      <c r="B205" s="23" t="s">
        <v>77</v>
      </c>
      <c r="C205" s="23">
        <v>3</v>
      </c>
      <c r="D205" s="23"/>
      <c r="E205" s="23" t="s">
        <v>61</v>
      </c>
      <c r="F205" s="23" t="s">
        <v>20</v>
      </c>
      <c r="G205" s="27">
        <v>2014</v>
      </c>
      <c r="H205" s="27">
        <v>20</v>
      </c>
      <c r="I205" s="27">
        <v>25</v>
      </c>
      <c r="J205" s="27">
        <v>20</v>
      </c>
      <c r="K205" s="27">
        <v>14</v>
      </c>
      <c r="L205" s="27">
        <v>14</v>
      </c>
      <c r="M205" s="27">
        <v>14</v>
      </c>
      <c r="N205" s="27"/>
      <c r="O205" s="27"/>
      <c r="P205" s="28">
        <f t="shared" ref="P205:P260" si="118">SUM(K205:O205)</f>
        <v>42</v>
      </c>
      <c r="Q205" s="28">
        <f t="shared" ref="Q205:Q260" si="119">IF(OR(E205="diesel", E205="petrol"), ((V205+(T205/10))/2)+(P205/14), IF(OR(E205="cng", E205="hybrid"), ((V205+(T205/10))/2*1.2)+(P205/14), IF(OR(E205="hydrogen", E205="electric"), ((V205+(T205/10))/2*1.5)+(P205/14), 0)))</f>
        <v>32.352000000000004</v>
      </c>
      <c r="R205" s="28">
        <f t="shared" ref="R205:R260" si="120">IF(E205="petrol", ((V205+(W205/15)+T205)/10*1.5)+(P205/14), IF(E205="diesel", ((V205+(W205/15)+T205)/10)+(P205/14), IF(OR(E205="cng", E205="hybrid"), ((V205+(W205/15)+T205)/10*0.8)+(P205/14), IF(OR(E205="hydrogen", E205="electric"), ((V205+(W205/15)+T205)/10*0.5)+(P205/14), 0))))</f>
        <v>29.32533333333334</v>
      </c>
      <c r="S205" s="27">
        <v>80</v>
      </c>
      <c r="T205" s="29">
        <f t="shared" si="116"/>
        <v>299.20000000000005</v>
      </c>
      <c r="U205" s="27">
        <v>220</v>
      </c>
      <c r="V205" s="27">
        <v>19</v>
      </c>
      <c r="W205" s="27">
        <v>163</v>
      </c>
      <c r="X205" s="29">
        <f t="shared" si="113"/>
        <v>200</v>
      </c>
      <c r="Y205" s="27" t="s">
        <v>69</v>
      </c>
      <c r="Z205" s="27" t="s">
        <v>315</v>
      </c>
      <c r="AA205" s="29">
        <f t="shared" ref="AA205:AA260" si="121">IF(AG205&gt;8, AG205-8, AG205)</f>
        <v>3</v>
      </c>
      <c r="AB205" s="29">
        <f t="shared" ref="AB205:AB260" si="122">IF(AG205&gt;8, 8, "")</f>
        <v>8</v>
      </c>
      <c r="AC205" s="29">
        <f t="shared" ref="AC205:AC260" si="123">IF(AH205&gt;8, AH205-8, IF(AH205=0, "", AH205))</f>
        <v>8</v>
      </c>
      <c r="AD205" s="29" t="str">
        <f t="shared" ref="AD205:AD260" si="124">IF(AH205&gt;8, 8, "")</f>
        <v/>
      </c>
      <c r="AE205" s="29" t="str">
        <f t="shared" ref="AE205:AE260" si="125">IF(AI205&gt;8, AI205-8, IF(AI205=0, "", AI205))</f>
        <v/>
      </c>
      <c r="AF205" s="29" t="str">
        <f t="shared" ref="AF205:AF260" si="126">IF(AI205&gt;8, 8, "")</f>
        <v/>
      </c>
      <c r="AG205" s="27">
        <v>11</v>
      </c>
      <c r="AH205" s="27">
        <v>8</v>
      </c>
      <c r="AI205" s="27">
        <v>0</v>
      </c>
      <c r="AJ205" s="23" t="s">
        <v>59</v>
      </c>
      <c r="AK205" s="23" t="s">
        <v>63</v>
      </c>
      <c r="AL205" s="30" t="s">
        <v>64</v>
      </c>
      <c r="AM205" s="23" t="s">
        <v>77</v>
      </c>
      <c r="AN205" s="31" t="str">
        <f t="shared" si="117"/>
        <v>3 doors</v>
      </c>
      <c r="AO205" s="23" t="s">
        <v>85</v>
      </c>
      <c r="AP205" s="23" t="s">
        <v>71</v>
      </c>
      <c r="AQ205" s="23" t="s">
        <v>78</v>
      </c>
      <c r="AR205" s="34">
        <f t="shared" ref="AR205:AR260" si="127">(AS205*100)+AT205+(AU205/100)</f>
        <v>6518</v>
      </c>
      <c r="AS205" s="23">
        <v>65</v>
      </c>
      <c r="AT205" s="23">
        <v>18</v>
      </c>
      <c r="AU205" s="23">
        <v>0</v>
      </c>
    </row>
    <row r="206" spans="1:47" s="35" customFormat="1">
      <c r="A206" s="26" t="s">
        <v>62</v>
      </c>
      <c r="B206" s="23" t="s">
        <v>77</v>
      </c>
      <c r="C206" s="23">
        <v>3</v>
      </c>
      <c r="D206" s="23"/>
      <c r="E206" s="23" t="s">
        <v>61</v>
      </c>
      <c r="F206" s="23" t="s">
        <v>20</v>
      </c>
      <c r="G206" s="27">
        <v>2014</v>
      </c>
      <c r="H206" s="27">
        <v>20</v>
      </c>
      <c r="I206" s="27">
        <v>25</v>
      </c>
      <c r="J206" s="27">
        <v>20</v>
      </c>
      <c r="K206" s="27">
        <v>14</v>
      </c>
      <c r="L206" s="27">
        <v>14</v>
      </c>
      <c r="M206" s="27">
        <v>14</v>
      </c>
      <c r="N206" s="27"/>
      <c r="O206" s="27"/>
      <c r="P206" s="28">
        <f t="shared" si="118"/>
        <v>42</v>
      </c>
      <c r="Q206" s="28">
        <f t="shared" si="119"/>
        <v>32.352000000000004</v>
      </c>
      <c r="R206" s="28">
        <f t="shared" si="120"/>
        <v>29.32533333333334</v>
      </c>
      <c r="S206" s="27">
        <v>80</v>
      </c>
      <c r="T206" s="29">
        <f t="shared" si="116"/>
        <v>299.20000000000005</v>
      </c>
      <c r="U206" s="27">
        <v>220</v>
      </c>
      <c r="V206" s="27">
        <v>19</v>
      </c>
      <c r="W206" s="27">
        <v>163</v>
      </c>
      <c r="X206" s="29">
        <f t="shared" si="113"/>
        <v>200</v>
      </c>
      <c r="Y206" s="27" t="s">
        <v>102</v>
      </c>
      <c r="Z206" s="27" t="s">
        <v>102</v>
      </c>
      <c r="AA206" s="29">
        <f t="shared" si="121"/>
        <v>3</v>
      </c>
      <c r="AB206" s="29">
        <f t="shared" si="122"/>
        <v>8</v>
      </c>
      <c r="AC206" s="29">
        <f t="shared" si="123"/>
        <v>8</v>
      </c>
      <c r="AD206" s="29" t="str">
        <f t="shared" si="124"/>
        <v/>
      </c>
      <c r="AE206" s="29" t="str">
        <f t="shared" si="125"/>
        <v/>
      </c>
      <c r="AF206" s="29" t="str">
        <f t="shared" si="126"/>
        <v/>
      </c>
      <c r="AG206" s="27">
        <v>11</v>
      </c>
      <c r="AH206" s="27">
        <v>8</v>
      </c>
      <c r="AI206" s="27">
        <v>0</v>
      </c>
      <c r="AJ206" s="23" t="s">
        <v>59</v>
      </c>
      <c r="AK206" s="23" t="s">
        <v>63</v>
      </c>
      <c r="AL206" s="30" t="s">
        <v>64</v>
      </c>
      <c r="AM206" s="23" t="s">
        <v>77</v>
      </c>
      <c r="AN206" s="31" t="str">
        <f t="shared" si="117"/>
        <v>3 doors</v>
      </c>
      <c r="AO206" s="23" t="s">
        <v>85</v>
      </c>
      <c r="AP206" s="23" t="s">
        <v>71</v>
      </c>
      <c r="AQ206" s="23" t="s">
        <v>78</v>
      </c>
      <c r="AR206" s="34">
        <f t="shared" si="127"/>
        <v>6518.01</v>
      </c>
      <c r="AS206" s="23">
        <v>65</v>
      </c>
      <c r="AT206" s="23">
        <v>18</v>
      </c>
      <c r="AU206" s="23">
        <v>1</v>
      </c>
    </row>
    <row r="207" spans="1:47" s="35" customFormat="1">
      <c r="A207" s="26" t="s">
        <v>75</v>
      </c>
      <c r="B207" s="23" t="s">
        <v>77</v>
      </c>
      <c r="C207" s="23">
        <v>3</v>
      </c>
      <c r="D207" s="23"/>
      <c r="E207" s="23" t="s">
        <v>76</v>
      </c>
      <c r="F207" s="23" t="s">
        <v>26</v>
      </c>
      <c r="G207" s="27">
        <v>2020</v>
      </c>
      <c r="H207" s="27">
        <v>20</v>
      </c>
      <c r="I207" s="27">
        <v>25</v>
      </c>
      <c r="J207" s="27">
        <v>20</v>
      </c>
      <c r="K207" s="27">
        <v>14</v>
      </c>
      <c r="L207" s="27">
        <v>14</v>
      </c>
      <c r="M207" s="27">
        <v>14</v>
      </c>
      <c r="N207" s="27"/>
      <c r="O207" s="27"/>
      <c r="P207" s="28">
        <f t="shared" si="118"/>
        <v>42</v>
      </c>
      <c r="Q207" s="28">
        <f t="shared" si="119"/>
        <v>43.5</v>
      </c>
      <c r="R207" s="28">
        <f t="shared" si="120"/>
        <v>21.486666666666668</v>
      </c>
      <c r="S207" s="27">
        <v>80</v>
      </c>
      <c r="T207" s="29">
        <f t="shared" si="116"/>
        <v>340</v>
      </c>
      <c r="U207" s="27">
        <v>250</v>
      </c>
      <c r="V207" s="27">
        <v>20</v>
      </c>
      <c r="W207" s="27">
        <v>146</v>
      </c>
      <c r="X207" s="29">
        <f t="shared" si="113"/>
        <v>200</v>
      </c>
      <c r="Y207" s="27" t="s">
        <v>69</v>
      </c>
      <c r="Z207" s="27" t="s">
        <v>315</v>
      </c>
      <c r="AA207" s="29">
        <f t="shared" si="121"/>
        <v>3</v>
      </c>
      <c r="AB207" s="29">
        <f t="shared" si="122"/>
        <v>8</v>
      </c>
      <c r="AC207" s="29">
        <f t="shared" si="123"/>
        <v>8</v>
      </c>
      <c r="AD207" s="29" t="str">
        <f t="shared" si="124"/>
        <v/>
      </c>
      <c r="AE207" s="29" t="str">
        <f t="shared" si="125"/>
        <v/>
      </c>
      <c r="AF207" s="29" t="str">
        <f t="shared" si="126"/>
        <v/>
      </c>
      <c r="AG207" s="27">
        <v>11</v>
      </c>
      <c r="AH207" s="27">
        <v>8</v>
      </c>
      <c r="AI207" s="27">
        <v>0</v>
      </c>
      <c r="AJ207" s="23" t="s">
        <v>59</v>
      </c>
      <c r="AK207" s="23" t="s">
        <v>63</v>
      </c>
      <c r="AL207" s="30" t="s">
        <v>64</v>
      </c>
      <c r="AM207" s="23" t="s">
        <v>77</v>
      </c>
      <c r="AN207" s="31" t="str">
        <f t="shared" si="117"/>
        <v>3 doors</v>
      </c>
      <c r="AO207" s="23" t="s">
        <v>85</v>
      </c>
      <c r="AP207" s="23" t="s">
        <v>71</v>
      </c>
      <c r="AQ207" s="23" t="s">
        <v>78</v>
      </c>
      <c r="AR207" s="34">
        <f t="shared" si="127"/>
        <v>6519</v>
      </c>
      <c r="AS207" s="23">
        <v>65</v>
      </c>
      <c r="AT207" s="23">
        <v>19</v>
      </c>
      <c r="AU207" s="23">
        <v>0</v>
      </c>
    </row>
    <row r="208" spans="1:47">
      <c r="A208" s="26" t="s">
        <v>75</v>
      </c>
      <c r="B208" s="23" t="s">
        <v>77</v>
      </c>
      <c r="C208" s="23">
        <v>3</v>
      </c>
      <c r="E208" s="23" t="s">
        <v>76</v>
      </c>
      <c r="F208" s="23" t="s">
        <v>26</v>
      </c>
      <c r="G208" s="27">
        <v>2020</v>
      </c>
      <c r="H208" s="27">
        <v>20</v>
      </c>
      <c r="I208" s="27">
        <v>25</v>
      </c>
      <c r="J208" s="27">
        <v>20</v>
      </c>
      <c r="K208" s="27">
        <v>14</v>
      </c>
      <c r="L208" s="27">
        <v>14</v>
      </c>
      <c r="M208" s="27">
        <v>14</v>
      </c>
      <c r="P208" s="28">
        <f t="shared" si="118"/>
        <v>42</v>
      </c>
      <c r="Q208" s="28">
        <f t="shared" si="119"/>
        <v>43.5</v>
      </c>
      <c r="R208" s="28">
        <f t="shared" si="120"/>
        <v>21.486666666666668</v>
      </c>
      <c r="S208" s="27">
        <v>80</v>
      </c>
      <c r="T208" s="29">
        <f t="shared" si="116"/>
        <v>340</v>
      </c>
      <c r="U208" s="27">
        <v>250</v>
      </c>
      <c r="V208" s="27">
        <v>20</v>
      </c>
      <c r="W208" s="27">
        <v>146</v>
      </c>
      <c r="X208" s="29">
        <f t="shared" si="113"/>
        <v>200</v>
      </c>
      <c r="Y208" s="27" t="s">
        <v>102</v>
      </c>
      <c r="Z208" s="27" t="s">
        <v>102</v>
      </c>
      <c r="AA208" s="29">
        <f t="shared" si="121"/>
        <v>3</v>
      </c>
      <c r="AB208" s="29">
        <f t="shared" si="122"/>
        <v>8</v>
      </c>
      <c r="AC208" s="29">
        <f t="shared" si="123"/>
        <v>8</v>
      </c>
      <c r="AD208" s="29" t="str">
        <f t="shared" si="124"/>
        <v/>
      </c>
      <c r="AE208" s="29" t="str">
        <f t="shared" si="125"/>
        <v/>
      </c>
      <c r="AF208" s="29" t="str">
        <f t="shared" si="126"/>
        <v/>
      </c>
      <c r="AG208" s="27">
        <v>11</v>
      </c>
      <c r="AH208" s="27">
        <v>8</v>
      </c>
      <c r="AI208" s="27">
        <v>0</v>
      </c>
      <c r="AJ208" s="23" t="s">
        <v>59</v>
      </c>
      <c r="AK208" s="23" t="s">
        <v>63</v>
      </c>
      <c r="AL208" s="30" t="s">
        <v>64</v>
      </c>
      <c r="AM208" s="23" t="s">
        <v>77</v>
      </c>
      <c r="AN208" s="31" t="str">
        <f t="shared" si="117"/>
        <v>3 doors</v>
      </c>
      <c r="AO208" s="23" t="s">
        <v>85</v>
      </c>
      <c r="AP208" s="23" t="s">
        <v>71</v>
      </c>
      <c r="AQ208" s="23" t="s">
        <v>78</v>
      </c>
      <c r="AR208" s="34">
        <f t="shared" si="127"/>
        <v>6519.01</v>
      </c>
      <c r="AS208" s="23">
        <v>65</v>
      </c>
      <c r="AT208" s="23">
        <v>19</v>
      </c>
      <c r="AU208" s="23">
        <v>1</v>
      </c>
    </row>
    <row r="209" spans="1:47">
      <c r="A209" s="26" t="s">
        <v>62</v>
      </c>
      <c r="B209" s="23" t="s">
        <v>78</v>
      </c>
      <c r="C209" s="23">
        <v>4</v>
      </c>
      <c r="E209" s="23" t="s">
        <v>60</v>
      </c>
      <c r="F209" s="23" t="s">
        <v>13</v>
      </c>
      <c r="G209" s="27">
        <v>2012</v>
      </c>
      <c r="H209" s="27">
        <v>20</v>
      </c>
      <c r="I209" s="27">
        <v>25</v>
      </c>
      <c r="J209" s="27">
        <v>20</v>
      </c>
      <c r="K209" s="27">
        <v>14</v>
      </c>
      <c r="L209" s="27">
        <v>14</v>
      </c>
      <c r="M209" s="27">
        <v>14</v>
      </c>
      <c r="N209" s="27">
        <v>14</v>
      </c>
      <c r="P209" s="28">
        <f t="shared" si="118"/>
        <v>56</v>
      </c>
      <c r="Q209" s="28">
        <f t="shared" si="119"/>
        <v>33.72</v>
      </c>
      <c r="R209" s="28">
        <f t="shared" si="120"/>
        <v>46.646666666666668</v>
      </c>
      <c r="S209" s="27">
        <v>80</v>
      </c>
      <c r="T209" s="29">
        <f t="shared" si="116"/>
        <v>394.40000000000003</v>
      </c>
      <c r="U209" s="27">
        <v>290</v>
      </c>
      <c r="V209" s="27">
        <v>20</v>
      </c>
      <c r="W209" s="27">
        <v>181</v>
      </c>
      <c r="X209" s="29">
        <f t="shared" si="113"/>
        <v>200</v>
      </c>
      <c r="Y209" s="27" t="s">
        <v>69</v>
      </c>
      <c r="Z209" s="27" t="s">
        <v>315</v>
      </c>
      <c r="AA209" s="29">
        <f t="shared" si="121"/>
        <v>3</v>
      </c>
      <c r="AB209" s="29">
        <f t="shared" si="122"/>
        <v>8</v>
      </c>
      <c r="AC209" s="29">
        <f t="shared" si="123"/>
        <v>2</v>
      </c>
      <c r="AD209" s="29">
        <f t="shared" si="124"/>
        <v>8</v>
      </c>
      <c r="AE209" s="29" t="str">
        <f t="shared" si="125"/>
        <v/>
      </c>
      <c r="AF209" s="29" t="str">
        <f t="shared" si="126"/>
        <v/>
      </c>
      <c r="AG209" s="27">
        <v>11</v>
      </c>
      <c r="AH209" s="27">
        <v>10</v>
      </c>
      <c r="AI209" s="27">
        <v>0</v>
      </c>
      <c r="AJ209" s="23" t="s">
        <v>59</v>
      </c>
      <c r="AK209" s="23" t="s">
        <v>63</v>
      </c>
      <c r="AL209" s="30" t="s">
        <v>64</v>
      </c>
      <c r="AM209" s="23" t="s">
        <v>78</v>
      </c>
      <c r="AN209" s="31" t="str">
        <f t="shared" si="117"/>
        <v>4 doors</v>
      </c>
      <c r="AO209" s="23" t="s">
        <v>86</v>
      </c>
      <c r="AP209" s="23" t="s">
        <v>71</v>
      </c>
      <c r="AQ209" s="23" t="s">
        <v>78</v>
      </c>
      <c r="AR209" s="34">
        <f t="shared" si="127"/>
        <v>6520</v>
      </c>
      <c r="AS209" s="23">
        <v>65</v>
      </c>
      <c r="AT209" s="23">
        <v>20</v>
      </c>
      <c r="AU209" s="23">
        <v>0</v>
      </c>
    </row>
    <row r="210" spans="1:47">
      <c r="A210" s="26" t="s">
        <v>62</v>
      </c>
      <c r="B210" s="23" t="s">
        <v>78</v>
      </c>
      <c r="C210" s="23">
        <v>4</v>
      </c>
      <c r="E210" s="23" t="s">
        <v>60</v>
      </c>
      <c r="F210" s="23" t="s">
        <v>13</v>
      </c>
      <c r="G210" s="27">
        <v>2012</v>
      </c>
      <c r="H210" s="27">
        <v>20</v>
      </c>
      <c r="I210" s="27">
        <v>25</v>
      </c>
      <c r="J210" s="27">
        <v>20</v>
      </c>
      <c r="K210" s="27">
        <v>14</v>
      </c>
      <c r="L210" s="27">
        <v>14</v>
      </c>
      <c r="M210" s="27">
        <v>14</v>
      </c>
      <c r="N210" s="27">
        <v>14</v>
      </c>
      <c r="P210" s="28">
        <f t="shared" si="118"/>
        <v>56</v>
      </c>
      <c r="Q210" s="28">
        <f t="shared" si="119"/>
        <v>33.72</v>
      </c>
      <c r="R210" s="28">
        <f t="shared" si="120"/>
        <v>46.646666666666668</v>
      </c>
      <c r="S210" s="27">
        <v>80</v>
      </c>
      <c r="T210" s="29">
        <f t="shared" si="116"/>
        <v>394.40000000000003</v>
      </c>
      <c r="U210" s="27">
        <v>290</v>
      </c>
      <c r="V210" s="27">
        <v>20</v>
      </c>
      <c r="W210" s="27">
        <v>181</v>
      </c>
      <c r="X210" s="29">
        <f t="shared" ref="X210:X260" si="128">IF(AP210="Regional", 185, IF(AP210="Intercity", 150, IF(AP210="Tourist", 100, 200)))</f>
        <v>200</v>
      </c>
      <c r="Y210" s="27" t="s">
        <v>102</v>
      </c>
      <c r="Z210" s="27" t="s">
        <v>102</v>
      </c>
      <c r="AA210" s="29">
        <f t="shared" si="121"/>
        <v>3</v>
      </c>
      <c r="AB210" s="29">
        <f t="shared" si="122"/>
        <v>8</v>
      </c>
      <c r="AC210" s="29">
        <f t="shared" si="123"/>
        <v>2</v>
      </c>
      <c r="AD210" s="29">
        <f t="shared" si="124"/>
        <v>8</v>
      </c>
      <c r="AE210" s="29" t="str">
        <f t="shared" si="125"/>
        <v/>
      </c>
      <c r="AF210" s="29" t="str">
        <f t="shared" si="126"/>
        <v/>
      </c>
      <c r="AG210" s="27">
        <v>11</v>
      </c>
      <c r="AH210" s="27">
        <v>10</v>
      </c>
      <c r="AI210" s="27">
        <v>0</v>
      </c>
      <c r="AJ210" s="23" t="s">
        <v>59</v>
      </c>
      <c r="AK210" s="23" t="s">
        <v>63</v>
      </c>
      <c r="AL210" s="30" t="s">
        <v>64</v>
      </c>
      <c r="AM210" s="23" t="s">
        <v>78</v>
      </c>
      <c r="AN210" s="31" t="str">
        <f t="shared" si="117"/>
        <v>4 doors</v>
      </c>
      <c r="AO210" s="23" t="s">
        <v>86</v>
      </c>
      <c r="AP210" s="23" t="s">
        <v>71</v>
      </c>
      <c r="AQ210" s="23" t="s">
        <v>78</v>
      </c>
      <c r="AR210" s="34">
        <f t="shared" si="127"/>
        <v>6520.01</v>
      </c>
      <c r="AS210" s="23">
        <v>65</v>
      </c>
      <c r="AT210" s="23">
        <v>20</v>
      </c>
      <c r="AU210" s="23">
        <v>1</v>
      </c>
    </row>
    <row r="211" spans="1:47">
      <c r="A211" s="26" t="s">
        <v>62</v>
      </c>
      <c r="B211" s="23" t="s">
        <v>79</v>
      </c>
      <c r="C211" s="23">
        <v>5</v>
      </c>
      <c r="E211" s="23" t="s">
        <v>60</v>
      </c>
      <c r="F211" s="23" t="s">
        <v>14</v>
      </c>
      <c r="G211" s="27">
        <v>2012</v>
      </c>
      <c r="H211" s="27">
        <v>20</v>
      </c>
      <c r="I211" s="27">
        <v>25</v>
      </c>
      <c r="J211" s="27">
        <v>20</v>
      </c>
      <c r="K211" s="27">
        <v>14</v>
      </c>
      <c r="L211" s="27">
        <v>14</v>
      </c>
      <c r="M211" s="27">
        <v>14</v>
      </c>
      <c r="N211" s="27">
        <v>14</v>
      </c>
      <c r="O211" s="27">
        <v>14</v>
      </c>
      <c r="P211" s="28">
        <f t="shared" si="118"/>
        <v>70</v>
      </c>
      <c r="Q211" s="28">
        <f t="shared" si="119"/>
        <v>35.22</v>
      </c>
      <c r="R211" s="28">
        <f t="shared" si="120"/>
        <v>47.866666666666667</v>
      </c>
      <c r="S211" s="27">
        <v>80</v>
      </c>
      <c r="T211" s="29">
        <f t="shared" si="116"/>
        <v>394.40000000000003</v>
      </c>
      <c r="U211" s="27">
        <v>290</v>
      </c>
      <c r="V211" s="27">
        <v>21</v>
      </c>
      <c r="W211" s="27">
        <v>199</v>
      </c>
      <c r="X211" s="29">
        <f t="shared" si="128"/>
        <v>200</v>
      </c>
      <c r="Y211" s="27" t="s">
        <v>69</v>
      </c>
      <c r="Z211" s="27" t="s">
        <v>315</v>
      </c>
      <c r="AA211" s="29">
        <f t="shared" si="121"/>
        <v>4</v>
      </c>
      <c r="AB211" s="29">
        <f t="shared" si="122"/>
        <v>8</v>
      </c>
      <c r="AC211" s="29">
        <f t="shared" si="123"/>
        <v>3</v>
      </c>
      <c r="AD211" s="29">
        <f t="shared" si="124"/>
        <v>8</v>
      </c>
      <c r="AE211" s="29" t="str">
        <f t="shared" si="125"/>
        <v/>
      </c>
      <c r="AF211" s="29" t="str">
        <f t="shared" si="126"/>
        <v/>
      </c>
      <c r="AG211" s="27">
        <v>12</v>
      </c>
      <c r="AH211" s="27">
        <v>11</v>
      </c>
      <c r="AI211" s="27">
        <v>0</v>
      </c>
      <c r="AJ211" s="23" t="s">
        <v>59</v>
      </c>
      <c r="AK211" s="23" t="s">
        <v>63</v>
      </c>
      <c r="AL211" s="30" t="s">
        <v>64</v>
      </c>
      <c r="AM211" s="23" t="s">
        <v>79</v>
      </c>
      <c r="AN211" s="31" t="str">
        <f t="shared" si="117"/>
        <v>5 doors</v>
      </c>
      <c r="AO211" s="23" t="s">
        <v>87</v>
      </c>
      <c r="AP211" s="23" t="s">
        <v>71</v>
      </c>
      <c r="AQ211" s="23" t="s">
        <v>78</v>
      </c>
      <c r="AR211" s="34">
        <f t="shared" si="127"/>
        <v>6521</v>
      </c>
      <c r="AS211" s="23">
        <v>65</v>
      </c>
      <c r="AT211" s="23">
        <v>21</v>
      </c>
      <c r="AU211" s="23">
        <v>0</v>
      </c>
    </row>
    <row r="212" spans="1:47">
      <c r="A212" s="26" t="s">
        <v>62</v>
      </c>
      <c r="B212" s="23" t="s">
        <v>79</v>
      </c>
      <c r="C212" s="23">
        <v>5</v>
      </c>
      <c r="E212" s="23" t="s">
        <v>60</v>
      </c>
      <c r="F212" s="23" t="s">
        <v>14</v>
      </c>
      <c r="G212" s="27">
        <v>2012</v>
      </c>
      <c r="H212" s="27">
        <v>20</v>
      </c>
      <c r="I212" s="27">
        <v>25</v>
      </c>
      <c r="J212" s="27">
        <v>20</v>
      </c>
      <c r="K212" s="27">
        <v>14</v>
      </c>
      <c r="L212" s="27">
        <v>14</v>
      </c>
      <c r="M212" s="27">
        <v>14</v>
      </c>
      <c r="N212" s="27">
        <v>14</v>
      </c>
      <c r="O212" s="27">
        <v>14</v>
      </c>
      <c r="P212" s="28">
        <f t="shared" si="118"/>
        <v>70</v>
      </c>
      <c r="Q212" s="28">
        <f t="shared" si="119"/>
        <v>35.22</v>
      </c>
      <c r="R212" s="28">
        <f t="shared" si="120"/>
        <v>47.866666666666667</v>
      </c>
      <c r="S212" s="27">
        <v>80</v>
      </c>
      <c r="T212" s="29">
        <f t="shared" si="116"/>
        <v>394.40000000000003</v>
      </c>
      <c r="U212" s="27">
        <v>290</v>
      </c>
      <c r="V212" s="27">
        <v>21</v>
      </c>
      <c r="W212" s="27">
        <v>199</v>
      </c>
      <c r="X212" s="29">
        <f t="shared" si="128"/>
        <v>200</v>
      </c>
      <c r="Y212" s="27" t="s">
        <v>102</v>
      </c>
      <c r="Z212" s="27" t="s">
        <v>102</v>
      </c>
      <c r="AA212" s="29">
        <f t="shared" si="121"/>
        <v>4</v>
      </c>
      <c r="AB212" s="29">
        <f t="shared" si="122"/>
        <v>8</v>
      </c>
      <c r="AC212" s="29">
        <f t="shared" si="123"/>
        <v>3</v>
      </c>
      <c r="AD212" s="29">
        <f t="shared" si="124"/>
        <v>8</v>
      </c>
      <c r="AE212" s="29" t="str">
        <f t="shared" si="125"/>
        <v/>
      </c>
      <c r="AF212" s="29" t="str">
        <f t="shared" si="126"/>
        <v/>
      </c>
      <c r="AG212" s="27">
        <v>12</v>
      </c>
      <c r="AH212" s="27">
        <v>11</v>
      </c>
      <c r="AI212" s="27">
        <v>0</v>
      </c>
      <c r="AJ212" s="23" t="s">
        <v>59</v>
      </c>
      <c r="AK212" s="23" t="s">
        <v>63</v>
      </c>
      <c r="AL212" s="30" t="s">
        <v>64</v>
      </c>
      <c r="AM212" s="23" t="s">
        <v>79</v>
      </c>
      <c r="AN212" s="31" t="str">
        <f t="shared" si="117"/>
        <v>5 doors</v>
      </c>
      <c r="AO212" s="23" t="s">
        <v>87</v>
      </c>
      <c r="AP212" s="23" t="s">
        <v>71</v>
      </c>
      <c r="AQ212" s="23" t="s">
        <v>78</v>
      </c>
      <c r="AR212" s="34">
        <f t="shared" si="127"/>
        <v>6521.01</v>
      </c>
      <c r="AS212" s="23">
        <v>65</v>
      </c>
      <c r="AT212" s="23">
        <v>21</v>
      </c>
      <c r="AU212" s="23">
        <v>1</v>
      </c>
    </row>
    <row r="213" spans="1:47">
      <c r="A213" s="26" t="s">
        <v>74</v>
      </c>
      <c r="B213" s="23" t="s">
        <v>55</v>
      </c>
      <c r="C213" s="23">
        <v>3</v>
      </c>
      <c r="E213" s="23" t="s">
        <v>60</v>
      </c>
      <c r="F213" s="23" t="s">
        <v>8</v>
      </c>
      <c r="G213" s="27">
        <v>2016</v>
      </c>
      <c r="H213" s="27">
        <v>20</v>
      </c>
      <c r="I213" s="27">
        <v>25</v>
      </c>
      <c r="J213" s="27">
        <v>20</v>
      </c>
      <c r="K213" s="27">
        <v>14</v>
      </c>
      <c r="L213" s="27">
        <v>14</v>
      </c>
      <c r="M213" s="27">
        <v>14</v>
      </c>
      <c r="P213" s="28">
        <f t="shared" si="118"/>
        <v>42</v>
      </c>
      <c r="Q213" s="28">
        <f t="shared" si="119"/>
        <v>23.46</v>
      </c>
      <c r="R213" s="28">
        <f t="shared" si="120"/>
        <v>34.693333333333342</v>
      </c>
      <c r="S213" s="27">
        <v>75</v>
      </c>
      <c r="T213" s="29">
        <f t="shared" si="116"/>
        <v>299.20000000000005</v>
      </c>
      <c r="U213" s="27">
        <v>220</v>
      </c>
      <c r="V213" s="27">
        <v>11</v>
      </c>
      <c r="W213" s="27">
        <v>101</v>
      </c>
      <c r="X213" s="29">
        <f t="shared" si="128"/>
        <v>200</v>
      </c>
      <c r="Y213" s="27" t="s">
        <v>69</v>
      </c>
      <c r="Z213" s="27" t="s">
        <v>69</v>
      </c>
      <c r="AA213" s="29">
        <f t="shared" si="121"/>
        <v>5</v>
      </c>
      <c r="AB213" s="29">
        <f t="shared" si="122"/>
        <v>8</v>
      </c>
      <c r="AC213" s="29" t="str">
        <f t="shared" si="123"/>
        <v/>
      </c>
      <c r="AD213" s="29" t="str">
        <f t="shared" si="124"/>
        <v/>
      </c>
      <c r="AE213" s="29" t="str">
        <f t="shared" si="125"/>
        <v/>
      </c>
      <c r="AF213" s="29" t="str">
        <f t="shared" si="126"/>
        <v/>
      </c>
      <c r="AG213" s="27">
        <v>13</v>
      </c>
      <c r="AH213" s="27">
        <v>0</v>
      </c>
      <c r="AI213" s="27">
        <v>0</v>
      </c>
      <c r="AJ213" s="23" t="s">
        <v>99</v>
      </c>
      <c r="AK213" s="23" t="s">
        <v>84</v>
      </c>
      <c r="AL213" s="30">
        <v>3</v>
      </c>
      <c r="AN213" s="31" t="str">
        <f t="shared" si="117"/>
        <v>3 doors</v>
      </c>
      <c r="AO213" s="23" t="s">
        <v>66</v>
      </c>
      <c r="AP213" s="23" t="s">
        <v>71</v>
      </c>
      <c r="AQ213" s="23" t="s">
        <v>78</v>
      </c>
      <c r="AR213" s="34">
        <f t="shared" si="127"/>
        <v>6522</v>
      </c>
      <c r="AS213" s="23">
        <v>65</v>
      </c>
      <c r="AT213" s="23">
        <v>22</v>
      </c>
      <c r="AU213" s="23">
        <v>0</v>
      </c>
    </row>
    <row r="214" spans="1:47">
      <c r="A214" s="26" t="s">
        <v>74</v>
      </c>
      <c r="B214" s="23" t="s">
        <v>55</v>
      </c>
      <c r="C214" s="23">
        <v>3</v>
      </c>
      <c r="E214" s="23" t="s">
        <v>60</v>
      </c>
      <c r="F214" s="23" t="s">
        <v>8</v>
      </c>
      <c r="G214" s="27">
        <v>2016</v>
      </c>
      <c r="H214" s="27">
        <v>20</v>
      </c>
      <c r="I214" s="27">
        <v>25</v>
      </c>
      <c r="J214" s="27">
        <v>20</v>
      </c>
      <c r="K214" s="27">
        <v>14</v>
      </c>
      <c r="L214" s="27">
        <v>14</v>
      </c>
      <c r="M214" s="27">
        <v>14</v>
      </c>
      <c r="P214" s="28">
        <f t="shared" si="118"/>
        <v>42</v>
      </c>
      <c r="Q214" s="28">
        <f t="shared" si="119"/>
        <v>23.46</v>
      </c>
      <c r="R214" s="28">
        <f t="shared" si="120"/>
        <v>34.693333333333342</v>
      </c>
      <c r="S214" s="27">
        <v>75</v>
      </c>
      <c r="T214" s="29">
        <f t="shared" si="116"/>
        <v>299.20000000000005</v>
      </c>
      <c r="U214" s="27">
        <v>220</v>
      </c>
      <c r="V214" s="27">
        <v>11</v>
      </c>
      <c r="W214" s="27">
        <v>101</v>
      </c>
      <c r="X214" s="29">
        <f t="shared" si="128"/>
        <v>200</v>
      </c>
      <c r="Y214" s="27" t="s">
        <v>102</v>
      </c>
      <c r="Z214" s="27" t="s">
        <v>102</v>
      </c>
      <c r="AA214" s="29">
        <f t="shared" si="121"/>
        <v>5</v>
      </c>
      <c r="AB214" s="29">
        <f t="shared" si="122"/>
        <v>8</v>
      </c>
      <c r="AC214" s="29" t="str">
        <f t="shared" si="123"/>
        <v/>
      </c>
      <c r="AD214" s="29" t="str">
        <f t="shared" si="124"/>
        <v/>
      </c>
      <c r="AE214" s="29" t="str">
        <f t="shared" si="125"/>
        <v/>
      </c>
      <c r="AF214" s="29" t="str">
        <f t="shared" si="126"/>
        <v/>
      </c>
      <c r="AG214" s="27">
        <v>13</v>
      </c>
      <c r="AH214" s="27">
        <v>0</v>
      </c>
      <c r="AI214" s="27">
        <v>0</v>
      </c>
      <c r="AJ214" s="23" t="s">
        <v>99</v>
      </c>
      <c r="AK214" s="23" t="s">
        <v>84</v>
      </c>
      <c r="AL214" s="30">
        <v>3</v>
      </c>
      <c r="AN214" s="31" t="str">
        <f t="shared" si="117"/>
        <v>3 doors</v>
      </c>
      <c r="AO214" s="23" t="s">
        <v>66</v>
      </c>
      <c r="AP214" s="23" t="s">
        <v>71</v>
      </c>
      <c r="AQ214" s="23" t="s">
        <v>78</v>
      </c>
      <c r="AR214" s="34">
        <f t="shared" si="127"/>
        <v>6522.01</v>
      </c>
      <c r="AS214" s="23">
        <v>65</v>
      </c>
      <c r="AT214" s="23">
        <v>22</v>
      </c>
      <c r="AU214" s="23">
        <v>1</v>
      </c>
    </row>
    <row r="215" spans="1:47">
      <c r="A215" s="26" t="s">
        <v>74</v>
      </c>
      <c r="B215" s="23" t="s">
        <v>77</v>
      </c>
      <c r="C215" s="23">
        <v>4</v>
      </c>
      <c r="E215" s="23" t="s">
        <v>60</v>
      </c>
      <c r="F215" s="23" t="s">
        <v>9</v>
      </c>
      <c r="G215" s="27">
        <v>2016</v>
      </c>
      <c r="H215" s="27">
        <v>20</v>
      </c>
      <c r="I215" s="27">
        <v>25</v>
      </c>
      <c r="J215" s="27">
        <v>20</v>
      </c>
      <c r="K215" s="27">
        <v>14</v>
      </c>
      <c r="L215" s="27">
        <v>14</v>
      </c>
      <c r="M215" s="27">
        <v>14</v>
      </c>
      <c r="N215" s="27">
        <v>14</v>
      </c>
      <c r="P215" s="28">
        <f t="shared" si="118"/>
        <v>56</v>
      </c>
      <c r="Q215" s="28">
        <f t="shared" si="119"/>
        <v>30.520000000000003</v>
      </c>
      <c r="R215" s="28">
        <f t="shared" si="120"/>
        <v>42.74</v>
      </c>
      <c r="S215" s="27">
        <v>75</v>
      </c>
      <c r="T215" s="29">
        <f t="shared" si="116"/>
        <v>360.40000000000003</v>
      </c>
      <c r="U215" s="27">
        <v>265</v>
      </c>
      <c r="V215" s="27">
        <v>17</v>
      </c>
      <c r="W215" s="27">
        <v>150</v>
      </c>
      <c r="X215" s="29">
        <f t="shared" si="128"/>
        <v>200</v>
      </c>
      <c r="Y215" s="27" t="s">
        <v>69</v>
      </c>
      <c r="Z215" s="27" t="s">
        <v>69</v>
      </c>
      <c r="AA215" s="29">
        <f t="shared" si="121"/>
        <v>3</v>
      </c>
      <c r="AB215" s="29">
        <f t="shared" si="122"/>
        <v>8</v>
      </c>
      <c r="AC215" s="29">
        <f t="shared" si="123"/>
        <v>8</v>
      </c>
      <c r="AD215" s="29" t="str">
        <f t="shared" si="124"/>
        <v/>
      </c>
      <c r="AE215" s="29" t="str">
        <f t="shared" si="125"/>
        <v/>
      </c>
      <c r="AF215" s="29" t="str">
        <f t="shared" si="126"/>
        <v/>
      </c>
      <c r="AG215" s="27">
        <v>11</v>
      </c>
      <c r="AH215" s="27">
        <v>8</v>
      </c>
      <c r="AI215" s="27">
        <v>0</v>
      </c>
      <c r="AJ215" s="23" t="s">
        <v>99</v>
      </c>
      <c r="AK215" s="23" t="s">
        <v>84</v>
      </c>
      <c r="AL215" s="30">
        <v>3</v>
      </c>
      <c r="AM215" s="23" t="s">
        <v>77</v>
      </c>
      <c r="AN215" s="31" t="str">
        <f t="shared" si="117"/>
        <v>4 doors</v>
      </c>
      <c r="AO215" s="23" t="s">
        <v>85</v>
      </c>
      <c r="AP215" s="23" t="s">
        <v>71</v>
      </c>
      <c r="AQ215" s="23" t="s">
        <v>78</v>
      </c>
      <c r="AR215" s="34">
        <f t="shared" si="127"/>
        <v>6524</v>
      </c>
      <c r="AS215" s="23">
        <v>65</v>
      </c>
      <c r="AT215" s="23">
        <v>24</v>
      </c>
      <c r="AU215" s="23">
        <v>0</v>
      </c>
    </row>
    <row r="216" spans="1:47">
      <c r="A216" s="26" t="s">
        <v>74</v>
      </c>
      <c r="B216" s="23" t="s">
        <v>77</v>
      </c>
      <c r="C216" s="23">
        <v>4</v>
      </c>
      <c r="E216" s="23" t="s">
        <v>60</v>
      </c>
      <c r="F216" s="23" t="s">
        <v>9</v>
      </c>
      <c r="G216" s="27">
        <v>2016</v>
      </c>
      <c r="H216" s="27">
        <v>20</v>
      </c>
      <c r="I216" s="27">
        <v>25</v>
      </c>
      <c r="J216" s="27">
        <v>20</v>
      </c>
      <c r="K216" s="27">
        <v>14</v>
      </c>
      <c r="L216" s="27">
        <v>14</v>
      </c>
      <c r="M216" s="27">
        <v>14</v>
      </c>
      <c r="N216" s="27">
        <v>14</v>
      </c>
      <c r="P216" s="28">
        <f t="shared" si="118"/>
        <v>56</v>
      </c>
      <c r="Q216" s="28">
        <f t="shared" si="119"/>
        <v>30.520000000000003</v>
      </c>
      <c r="R216" s="28">
        <f t="shared" si="120"/>
        <v>42.74</v>
      </c>
      <c r="S216" s="27">
        <v>75</v>
      </c>
      <c r="T216" s="29">
        <f t="shared" si="116"/>
        <v>360.40000000000003</v>
      </c>
      <c r="U216" s="27">
        <v>265</v>
      </c>
      <c r="V216" s="27">
        <v>17</v>
      </c>
      <c r="W216" s="27">
        <v>150</v>
      </c>
      <c r="X216" s="29">
        <f t="shared" si="128"/>
        <v>200</v>
      </c>
      <c r="Y216" s="27" t="s">
        <v>102</v>
      </c>
      <c r="Z216" s="27" t="s">
        <v>102</v>
      </c>
      <c r="AA216" s="29">
        <f t="shared" si="121"/>
        <v>3</v>
      </c>
      <c r="AB216" s="29">
        <f t="shared" si="122"/>
        <v>8</v>
      </c>
      <c r="AC216" s="29">
        <f t="shared" si="123"/>
        <v>8</v>
      </c>
      <c r="AD216" s="29" t="str">
        <f t="shared" si="124"/>
        <v/>
      </c>
      <c r="AE216" s="29" t="str">
        <f t="shared" si="125"/>
        <v/>
      </c>
      <c r="AF216" s="29" t="str">
        <f t="shared" si="126"/>
        <v/>
      </c>
      <c r="AG216" s="27">
        <v>11</v>
      </c>
      <c r="AH216" s="27">
        <v>8</v>
      </c>
      <c r="AI216" s="27">
        <v>0</v>
      </c>
      <c r="AJ216" s="23" t="s">
        <v>99</v>
      </c>
      <c r="AK216" s="23" t="s">
        <v>84</v>
      </c>
      <c r="AL216" s="30">
        <v>3</v>
      </c>
      <c r="AM216" s="23" t="s">
        <v>77</v>
      </c>
      <c r="AN216" s="31" t="str">
        <f t="shared" si="117"/>
        <v>4 doors</v>
      </c>
      <c r="AO216" s="23" t="s">
        <v>85</v>
      </c>
      <c r="AP216" s="23" t="s">
        <v>71</v>
      </c>
      <c r="AQ216" s="23" t="s">
        <v>78</v>
      </c>
      <c r="AR216" s="34">
        <f t="shared" si="127"/>
        <v>6524.01</v>
      </c>
      <c r="AS216" s="23">
        <v>65</v>
      </c>
      <c r="AT216" s="23">
        <v>24</v>
      </c>
      <c r="AU216" s="23">
        <v>1</v>
      </c>
    </row>
    <row r="217" spans="1:47">
      <c r="A217" s="26" t="s">
        <v>62</v>
      </c>
      <c r="B217" s="23" t="s">
        <v>56</v>
      </c>
      <c r="C217" s="23">
        <v>3</v>
      </c>
      <c r="E217" s="23" t="s">
        <v>60</v>
      </c>
      <c r="F217" s="23" t="s">
        <v>10</v>
      </c>
      <c r="G217" s="27">
        <v>2013</v>
      </c>
      <c r="H217" s="27">
        <v>20</v>
      </c>
      <c r="I217" s="27">
        <v>25</v>
      </c>
      <c r="J217" s="27">
        <v>20</v>
      </c>
      <c r="K217" s="27">
        <v>14</v>
      </c>
      <c r="L217" s="27">
        <v>14</v>
      </c>
      <c r="M217" s="27">
        <v>5</v>
      </c>
      <c r="P217" s="28">
        <f t="shared" si="118"/>
        <v>33</v>
      </c>
      <c r="Q217" s="28">
        <f t="shared" si="119"/>
        <v>26.037142857142857</v>
      </c>
      <c r="R217" s="28">
        <f t="shared" si="120"/>
        <v>39.62380952380952</v>
      </c>
      <c r="S217" s="27">
        <v>80</v>
      </c>
      <c r="T217" s="29">
        <f t="shared" si="116"/>
        <v>353.6</v>
      </c>
      <c r="U217" s="27">
        <v>260</v>
      </c>
      <c r="V217" s="27">
        <v>12</v>
      </c>
      <c r="W217" s="27">
        <v>106</v>
      </c>
      <c r="X217" s="29">
        <f t="shared" si="128"/>
        <v>200</v>
      </c>
      <c r="Y217" s="27" t="s">
        <v>69</v>
      </c>
      <c r="Z217" s="27" t="s">
        <v>315</v>
      </c>
      <c r="AA217" s="29">
        <f t="shared" si="121"/>
        <v>5</v>
      </c>
      <c r="AB217" s="29">
        <f t="shared" si="122"/>
        <v>8</v>
      </c>
      <c r="AC217" s="29" t="str">
        <f t="shared" si="123"/>
        <v/>
      </c>
      <c r="AD217" s="29" t="str">
        <f t="shared" si="124"/>
        <v/>
      </c>
      <c r="AE217" s="29" t="str">
        <f t="shared" si="125"/>
        <v/>
      </c>
      <c r="AF217" s="29" t="str">
        <f t="shared" si="126"/>
        <v/>
      </c>
      <c r="AG217" s="27">
        <v>13</v>
      </c>
      <c r="AH217" s="27">
        <v>0</v>
      </c>
      <c r="AI217" s="27">
        <v>0</v>
      </c>
      <c r="AJ217" s="23" t="s">
        <v>59</v>
      </c>
      <c r="AK217" s="23" t="s">
        <v>63</v>
      </c>
      <c r="AL217" s="30" t="s">
        <v>64</v>
      </c>
      <c r="AM217" s="23" t="s">
        <v>56</v>
      </c>
      <c r="AN217" s="31" t="str">
        <f t="shared" si="117"/>
        <v>3 doors</v>
      </c>
      <c r="AO217" s="23" t="s">
        <v>66</v>
      </c>
      <c r="AP217" s="23" t="s">
        <v>72</v>
      </c>
      <c r="AQ217" s="23" t="s">
        <v>78</v>
      </c>
      <c r="AR217" s="34">
        <f t="shared" si="127"/>
        <v>6620</v>
      </c>
      <c r="AS217" s="23">
        <v>66</v>
      </c>
      <c r="AT217" s="23">
        <v>20</v>
      </c>
      <c r="AU217" s="23">
        <v>0</v>
      </c>
    </row>
    <row r="218" spans="1:47">
      <c r="A218" s="26" t="s">
        <v>62</v>
      </c>
      <c r="B218" s="23" t="s">
        <v>56</v>
      </c>
      <c r="C218" s="23">
        <v>3</v>
      </c>
      <c r="E218" s="23" t="s">
        <v>60</v>
      </c>
      <c r="F218" s="23" t="s">
        <v>10</v>
      </c>
      <c r="G218" s="27">
        <v>2013</v>
      </c>
      <c r="H218" s="27">
        <v>20</v>
      </c>
      <c r="I218" s="27">
        <v>25</v>
      </c>
      <c r="J218" s="27">
        <v>20</v>
      </c>
      <c r="K218" s="27">
        <v>14</v>
      </c>
      <c r="L218" s="27">
        <v>14</v>
      </c>
      <c r="M218" s="27">
        <v>5</v>
      </c>
      <c r="P218" s="28">
        <f t="shared" si="118"/>
        <v>33</v>
      </c>
      <c r="Q218" s="28">
        <f t="shared" si="119"/>
        <v>26.037142857142857</v>
      </c>
      <c r="R218" s="28">
        <f t="shared" si="120"/>
        <v>39.62380952380952</v>
      </c>
      <c r="S218" s="27">
        <v>80</v>
      </c>
      <c r="T218" s="29">
        <f t="shared" si="116"/>
        <v>353.6</v>
      </c>
      <c r="U218" s="27">
        <v>260</v>
      </c>
      <c r="V218" s="27">
        <v>12</v>
      </c>
      <c r="W218" s="27">
        <v>106</v>
      </c>
      <c r="X218" s="29">
        <f t="shared" si="128"/>
        <v>200</v>
      </c>
      <c r="Y218" s="27" t="s">
        <v>102</v>
      </c>
      <c r="Z218" s="27" t="s">
        <v>102</v>
      </c>
      <c r="AA218" s="29">
        <f t="shared" si="121"/>
        <v>5</v>
      </c>
      <c r="AB218" s="29">
        <f t="shared" si="122"/>
        <v>8</v>
      </c>
      <c r="AC218" s="29" t="str">
        <f t="shared" si="123"/>
        <v/>
      </c>
      <c r="AD218" s="29" t="str">
        <f t="shared" si="124"/>
        <v/>
      </c>
      <c r="AE218" s="29" t="str">
        <f t="shared" si="125"/>
        <v/>
      </c>
      <c r="AF218" s="29" t="str">
        <f t="shared" si="126"/>
        <v/>
      </c>
      <c r="AG218" s="27">
        <v>13</v>
      </c>
      <c r="AH218" s="27">
        <v>0</v>
      </c>
      <c r="AI218" s="27">
        <v>0</v>
      </c>
      <c r="AJ218" s="23" t="s">
        <v>59</v>
      </c>
      <c r="AK218" s="23" t="s">
        <v>63</v>
      </c>
      <c r="AL218" s="30" t="s">
        <v>64</v>
      </c>
      <c r="AM218" s="23" t="s">
        <v>56</v>
      </c>
      <c r="AN218" s="31" t="str">
        <f t="shared" si="117"/>
        <v>3 doors</v>
      </c>
      <c r="AO218" s="23" t="s">
        <v>66</v>
      </c>
      <c r="AP218" s="23" t="s">
        <v>72</v>
      </c>
      <c r="AQ218" s="23" t="s">
        <v>78</v>
      </c>
      <c r="AR218" s="34">
        <f t="shared" si="127"/>
        <v>6620.01</v>
      </c>
      <c r="AS218" s="23">
        <v>66</v>
      </c>
      <c r="AT218" s="23">
        <v>20</v>
      </c>
      <c r="AU218" s="23">
        <v>1</v>
      </c>
    </row>
    <row r="219" spans="1:47">
      <c r="A219" s="26" t="s">
        <v>62</v>
      </c>
      <c r="B219" s="23" t="s">
        <v>56</v>
      </c>
      <c r="C219" s="23">
        <v>2</v>
      </c>
      <c r="E219" s="23" t="s">
        <v>60</v>
      </c>
      <c r="F219" s="23" t="s">
        <v>18</v>
      </c>
      <c r="G219" s="27">
        <v>2013</v>
      </c>
      <c r="H219" s="27">
        <v>20</v>
      </c>
      <c r="I219" s="27">
        <v>25</v>
      </c>
      <c r="J219" s="27">
        <v>20</v>
      </c>
      <c r="K219" s="27">
        <v>14</v>
      </c>
      <c r="L219" s="27">
        <v>14</v>
      </c>
      <c r="P219" s="28">
        <f t="shared" si="118"/>
        <v>28</v>
      </c>
      <c r="Q219" s="28">
        <f t="shared" si="119"/>
        <v>25.68</v>
      </c>
      <c r="R219" s="28">
        <f t="shared" si="120"/>
        <v>39.266666666666666</v>
      </c>
      <c r="S219" s="27">
        <v>80</v>
      </c>
      <c r="T219" s="29">
        <f t="shared" si="116"/>
        <v>353.6</v>
      </c>
      <c r="U219" s="27">
        <v>260</v>
      </c>
      <c r="V219" s="27">
        <v>12</v>
      </c>
      <c r="W219" s="27">
        <v>106</v>
      </c>
      <c r="X219" s="29">
        <f t="shared" si="128"/>
        <v>200</v>
      </c>
      <c r="Y219" s="27" t="s">
        <v>69</v>
      </c>
      <c r="Z219" s="27" t="s">
        <v>315</v>
      </c>
      <c r="AA219" s="29">
        <f t="shared" si="121"/>
        <v>5</v>
      </c>
      <c r="AB219" s="29">
        <f t="shared" si="122"/>
        <v>8</v>
      </c>
      <c r="AC219" s="29" t="str">
        <f t="shared" si="123"/>
        <v/>
      </c>
      <c r="AD219" s="29" t="str">
        <f t="shared" si="124"/>
        <v/>
      </c>
      <c r="AE219" s="29" t="str">
        <f t="shared" si="125"/>
        <v/>
      </c>
      <c r="AF219" s="29" t="str">
        <f t="shared" si="126"/>
        <v/>
      </c>
      <c r="AG219" s="27">
        <v>13</v>
      </c>
      <c r="AH219" s="27">
        <v>0</v>
      </c>
      <c r="AI219" s="27">
        <v>0</v>
      </c>
      <c r="AJ219" s="23" t="s">
        <v>59</v>
      </c>
      <c r="AK219" s="23" t="s">
        <v>63</v>
      </c>
      <c r="AL219" s="30" t="s">
        <v>64</v>
      </c>
      <c r="AM219" s="23" t="s">
        <v>56</v>
      </c>
      <c r="AN219" s="31" t="str">
        <f t="shared" si="117"/>
        <v>2 doors</v>
      </c>
      <c r="AO219" s="23" t="s">
        <v>66</v>
      </c>
      <c r="AP219" s="23" t="s">
        <v>72</v>
      </c>
      <c r="AQ219" s="23" t="s">
        <v>78</v>
      </c>
      <c r="AR219" s="34">
        <f t="shared" si="127"/>
        <v>6621</v>
      </c>
      <c r="AS219" s="23">
        <v>66</v>
      </c>
      <c r="AT219" s="23">
        <v>21</v>
      </c>
      <c r="AU219" s="23">
        <v>0</v>
      </c>
    </row>
    <row r="220" spans="1:47">
      <c r="A220" s="26" t="s">
        <v>62</v>
      </c>
      <c r="B220" s="23" t="s">
        <v>56</v>
      </c>
      <c r="C220" s="23">
        <v>2</v>
      </c>
      <c r="E220" s="23" t="s">
        <v>60</v>
      </c>
      <c r="F220" s="23" t="s">
        <v>18</v>
      </c>
      <c r="G220" s="27">
        <v>2013</v>
      </c>
      <c r="H220" s="27">
        <v>20</v>
      </c>
      <c r="I220" s="27">
        <v>25</v>
      </c>
      <c r="J220" s="27">
        <v>20</v>
      </c>
      <c r="K220" s="27">
        <v>14</v>
      </c>
      <c r="L220" s="27">
        <v>14</v>
      </c>
      <c r="P220" s="28">
        <f t="shared" si="118"/>
        <v>28</v>
      </c>
      <c r="Q220" s="28">
        <f t="shared" si="119"/>
        <v>25.68</v>
      </c>
      <c r="R220" s="28">
        <f t="shared" si="120"/>
        <v>39.266666666666666</v>
      </c>
      <c r="S220" s="27">
        <v>80</v>
      </c>
      <c r="T220" s="29">
        <f t="shared" si="116"/>
        <v>353.6</v>
      </c>
      <c r="U220" s="27">
        <v>260</v>
      </c>
      <c r="V220" s="27">
        <v>12</v>
      </c>
      <c r="W220" s="27">
        <v>106</v>
      </c>
      <c r="X220" s="29">
        <f t="shared" si="128"/>
        <v>200</v>
      </c>
      <c r="Y220" s="27" t="s">
        <v>102</v>
      </c>
      <c r="Z220" s="27" t="s">
        <v>102</v>
      </c>
      <c r="AA220" s="29">
        <f t="shared" si="121"/>
        <v>5</v>
      </c>
      <c r="AB220" s="29">
        <f t="shared" si="122"/>
        <v>8</v>
      </c>
      <c r="AC220" s="29" t="str">
        <f t="shared" si="123"/>
        <v/>
      </c>
      <c r="AD220" s="29" t="str">
        <f t="shared" si="124"/>
        <v/>
      </c>
      <c r="AE220" s="29" t="str">
        <f t="shared" si="125"/>
        <v/>
      </c>
      <c r="AF220" s="29" t="str">
        <f t="shared" si="126"/>
        <v/>
      </c>
      <c r="AG220" s="27">
        <v>13</v>
      </c>
      <c r="AH220" s="27">
        <v>0</v>
      </c>
      <c r="AI220" s="27">
        <v>0</v>
      </c>
      <c r="AJ220" s="23" t="s">
        <v>59</v>
      </c>
      <c r="AK220" s="23" t="s">
        <v>63</v>
      </c>
      <c r="AL220" s="30" t="s">
        <v>64</v>
      </c>
      <c r="AM220" s="23" t="s">
        <v>56</v>
      </c>
      <c r="AN220" s="31" t="str">
        <f t="shared" si="117"/>
        <v>2 doors</v>
      </c>
      <c r="AO220" s="23" t="s">
        <v>66</v>
      </c>
      <c r="AP220" s="23" t="s">
        <v>72</v>
      </c>
      <c r="AQ220" s="23" t="s">
        <v>78</v>
      </c>
      <c r="AR220" s="34">
        <f t="shared" si="127"/>
        <v>6621.01</v>
      </c>
      <c r="AS220" s="23">
        <v>66</v>
      </c>
      <c r="AT220" s="23">
        <v>21</v>
      </c>
      <c r="AU220" s="23">
        <v>1</v>
      </c>
    </row>
    <row r="221" spans="1:47">
      <c r="A221" s="26" t="s">
        <v>62</v>
      </c>
      <c r="B221" s="23" t="s">
        <v>80</v>
      </c>
      <c r="C221" s="23">
        <v>2</v>
      </c>
      <c r="E221" s="23" t="s">
        <v>60</v>
      </c>
      <c r="F221" s="23" t="s">
        <v>15</v>
      </c>
      <c r="G221" s="27">
        <v>2012</v>
      </c>
      <c r="H221" s="27">
        <v>20</v>
      </c>
      <c r="I221" s="27">
        <v>25</v>
      </c>
      <c r="J221" s="27">
        <v>20</v>
      </c>
      <c r="K221" s="27">
        <v>5</v>
      </c>
      <c r="L221" s="27">
        <v>14</v>
      </c>
      <c r="P221" s="28">
        <f t="shared" si="118"/>
        <v>19</v>
      </c>
      <c r="Q221" s="28">
        <f t="shared" si="119"/>
        <v>25.037142857142857</v>
      </c>
      <c r="R221" s="28">
        <f t="shared" si="120"/>
        <v>38.463809523809523</v>
      </c>
      <c r="S221" s="27">
        <v>95</v>
      </c>
      <c r="T221" s="29">
        <f t="shared" si="116"/>
        <v>353.6</v>
      </c>
      <c r="U221" s="27">
        <v>260</v>
      </c>
      <c r="V221" s="27">
        <v>12</v>
      </c>
      <c r="W221" s="27">
        <v>82</v>
      </c>
      <c r="X221" s="29">
        <f t="shared" si="128"/>
        <v>185</v>
      </c>
      <c r="Y221" s="27" t="s">
        <v>69</v>
      </c>
      <c r="Z221" s="27" t="s">
        <v>315</v>
      </c>
      <c r="AA221" s="29">
        <f t="shared" si="121"/>
        <v>5</v>
      </c>
      <c r="AB221" s="29">
        <f t="shared" si="122"/>
        <v>8</v>
      </c>
      <c r="AC221" s="29" t="str">
        <f t="shared" si="123"/>
        <v/>
      </c>
      <c r="AD221" s="29" t="str">
        <f t="shared" si="124"/>
        <v/>
      </c>
      <c r="AE221" s="29" t="str">
        <f t="shared" si="125"/>
        <v/>
      </c>
      <c r="AF221" s="29" t="str">
        <f t="shared" si="126"/>
        <v/>
      </c>
      <c r="AG221" s="27">
        <v>13</v>
      </c>
      <c r="AH221" s="27">
        <v>0</v>
      </c>
      <c r="AI221" s="27">
        <v>0</v>
      </c>
      <c r="AJ221" s="23" t="s">
        <v>59</v>
      </c>
      <c r="AK221" s="23" t="s">
        <v>63</v>
      </c>
      <c r="AL221" s="30" t="s">
        <v>64</v>
      </c>
      <c r="AM221" s="23" t="s">
        <v>80</v>
      </c>
      <c r="AN221" s="31" t="str">
        <f t="shared" si="117"/>
        <v>2 doors</v>
      </c>
      <c r="AO221" s="23" t="s">
        <v>66</v>
      </c>
      <c r="AP221" s="23" t="s">
        <v>89</v>
      </c>
      <c r="AQ221" s="23" t="s">
        <v>78</v>
      </c>
      <c r="AR221" s="34">
        <f t="shared" si="127"/>
        <v>6720</v>
      </c>
      <c r="AS221" s="23">
        <v>67</v>
      </c>
      <c r="AT221" s="23">
        <v>20</v>
      </c>
      <c r="AU221" s="23">
        <v>0</v>
      </c>
    </row>
    <row r="222" spans="1:47">
      <c r="A222" s="26" t="s">
        <v>62</v>
      </c>
      <c r="B222" s="23" t="s">
        <v>80</v>
      </c>
      <c r="C222" s="23">
        <v>2</v>
      </c>
      <c r="E222" s="23" t="s">
        <v>60</v>
      </c>
      <c r="F222" s="23" t="s">
        <v>15</v>
      </c>
      <c r="G222" s="27">
        <v>2012</v>
      </c>
      <c r="H222" s="27">
        <v>20</v>
      </c>
      <c r="I222" s="27">
        <v>25</v>
      </c>
      <c r="J222" s="27">
        <v>20</v>
      </c>
      <c r="K222" s="27">
        <v>5</v>
      </c>
      <c r="L222" s="27">
        <v>14</v>
      </c>
      <c r="P222" s="28">
        <f t="shared" si="118"/>
        <v>19</v>
      </c>
      <c r="Q222" s="28">
        <f t="shared" si="119"/>
        <v>25.037142857142857</v>
      </c>
      <c r="R222" s="28">
        <f t="shared" si="120"/>
        <v>38.463809523809523</v>
      </c>
      <c r="S222" s="27">
        <v>95</v>
      </c>
      <c r="T222" s="29">
        <f t="shared" si="116"/>
        <v>353.6</v>
      </c>
      <c r="U222" s="27">
        <v>260</v>
      </c>
      <c r="V222" s="27">
        <v>12</v>
      </c>
      <c r="W222" s="27">
        <v>82</v>
      </c>
      <c r="X222" s="29">
        <f t="shared" si="128"/>
        <v>185</v>
      </c>
      <c r="Y222" s="27" t="s">
        <v>102</v>
      </c>
      <c r="Z222" s="27" t="s">
        <v>102</v>
      </c>
      <c r="AA222" s="29">
        <f t="shared" si="121"/>
        <v>5</v>
      </c>
      <c r="AB222" s="29">
        <f t="shared" si="122"/>
        <v>8</v>
      </c>
      <c r="AC222" s="29" t="str">
        <f t="shared" si="123"/>
        <v/>
      </c>
      <c r="AD222" s="29" t="str">
        <f t="shared" si="124"/>
        <v/>
      </c>
      <c r="AE222" s="29" t="str">
        <f t="shared" si="125"/>
        <v/>
      </c>
      <c r="AF222" s="29" t="str">
        <f t="shared" si="126"/>
        <v/>
      </c>
      <c r="AG222" s="27">
        <v>13</v>
      </c>
      <c r="AH222" s="27">
        <v>0</v>
      </c>
      <c r="AI222" s="27">
        <v>0</v>
      </c>
      <c r="AJ222" s="23" t="s">
        <v>59</v>
      </c>
      <c r="AK222" s="23" t="s">
        <v>63</v>
      </c>
      <c r="AL222" s="30" t="s">
        <v>64</v>
      </c>
      <c r="AM222" s="23" t="s">
        <v>80</v>
      </c>
      <c r="AN222" s="31" t="str">
        <f t="shared" si="117"/>
        <v>2 doors</v>
      </c>
      <c r="AO222" s="23" t="s">
        <v>66</v>
      </c>
      <c r="AP222" s="23" t="s">
        <v>89</v>
      </c>
      <c r="AQ222" s="23" t="s">
        <v>78</v>
      </c>
      <c r="AR222" s="34">
        <f t="shared" si="127"/>
        <v>6720.01</v>
      </c>
      <c r="AS222" s="23">
        <v>67</v>
      </c>
      <c r="AT222" s="23">
        <v>20</v>
      </c>
      <c r="AU222" s="23">
        <v>1</v>
      </c>
    </row>
    <row r="223" spans="1:47">
      <c r="A223" s="26" t="s">
        <v>62</v>
      </c>
      <c r="B223" s="23" t="s">
        <v>81</v>
      </c>
      <c r="C223" s="23">
        <v>2</v>
      </c>
      <c r="E223" s="23" t="s">
        <v>60</v>
      </c>
      <c r="F223" s="23" t="s">
        <v>16</v>
      </c>
      <c r="G223" s="27">
        <v>2013</v>
      </c>
      <c r="H223" s="27">
        <v>20</v>
      </c>
      <c r="I223" s="27">
        <v>25</v>
      </c>
      <c r="J223" s="27">
        <v>20</v>
      </c>
      <c r="K223" s="27">
        <v>5</v>
      </c>
      <c r="L223" s="27">
        <v>14</v>
      </c>
      <c r="P223" s="28">
        <f t="shared" si="118"/>
        <v>19</v>
      </c>
      <c r="Q223" s="28">
        <f t="shared" si="119"/>
        <v>25.037142857142857</v>
      </c>
      <c r="R223" s="28">
        <f t="shared" si="120"/>
        <v>38.477142857142859</v>
      </c>
      <c r="S223" s="27">
        <v>100</v>
      </c>
      <c r="T223" s="29">
        <f t="shared" si="116"/>
        <v>353.6</v>
      </c>
      <c r="U223" s="27">
        <v>260</v>
      </c>
      <c r="V223" s="27">
        <v>12</v>
      </c>
      <c r="W223" s="27">
        <v>84</v>
      </c>
      <c r="X223" s="29">
        <f t="shared" si="128"/>
        <v>185</v>
      </c>
      <c r="Y223" s="27" t="s">
        <v>69</v>
      </c>
      <c r="Z223" s="27" t="s">
        <v>315</v>
      </c>
      <c r="AA223" s="29">
        <f t="shared" si="121"/>
        <v>5</v>
      </c>
      <c r="AB223" s="29">
        <f t="shared" si="122"/>
        <v>8</v>
      </c>
      <c r="AC223" s="29" t="str">
        <f t="shared" si="123"/>
        <v/>
      </c>
      <c r="AD223" s="29" t="str">
        <f t="shared" si="124"/>
        <v/>
      </c>
      <c r="AE223" s="29" t="str">
        <f t="shared" si="125"/>
        <v/>
      </c>
      <c r="AF223" s="29" t="str">
        <f t="shared" si="126"/>
        <v/>
      </c>
      <c r="AG223" s="27">
        <v>13</v>
      </c>
      <c r="AH223" s="27">
        <v>0</v>
      </c>
      <c r="AI223" s="27">
        <v>0</v>
      </c>
      <c r="AJ223" s="23" t="s">
        <v>59</v>
      </c>
      <c r="AK223" s="23" t="s">
        <v>63</v>
      </c>
      <c r="AL223" s="30" t="s">
        <v>64</v>
      </c>
      <c r="AM223" s="23" t="s">
        <v>81</v>
      </c>
      <c r="AN223" s="31" t="str">
        <f t="shared" si="117"/>
        <v>2 doors</v>
      </c>
      <c r="AO223" s="23" t="s">
        <v>66</v>
      </c>
      <c r="AP223" s="23" t="s">
        <v>89</v>
      </c>
      <c r="AQ223" s="23" t="s">
        <v>78</v>
      </c>
      <c r="AR223" s="34">
        <f t="shared" si="127"/>
        <v>6721</v>
      </c>
      <c r="AS223" s="23">
        <v>67</v>
      </c>
      <c r="AT223" s="23">
        <v>21</v>
      </c>
      <c r="AU223" s="23">
        <v>0</v>
      </c>
    </row>
    <row r="224" spans="1:47">
      <c r="A224" s="26" t="s">
        <v>62</v>
      </c>
      <c r="B224" s="23" t="s">
        <v>81</v>
      </c>
      <c r="C224" s="23">
        <v>2</v>
      </c>
      <c r="E224" s="23" t="s">
        <v>60</v>
      </c>
      <c r="F224" s="23" t="s">
        <v>16</v>
      </c>
      <c r="G224" s="27">
        <v>2013</v>
      </c>
      <c r="H224" s="27">
        <v>20</v>
      </c>
      <c r="I224" s="27">
        <v>25</v>
      </c>
      <c r="J224" s="27">
        <v>20</v>
      </c>
      <c r="K224" s="27">
        <v>5</v>
      </c>
      <c r="L224" s="27">
        <v>14</v>
      </c>
      <c r="P224" s="28">
        <f t="shared" si="118"/>
        <v>19</v>
      </c>
      <c r="Q224" s="28">
        <f t="shared" si="119"/>
        <v>25.037142857142857</v>
      </c>
      <c r="R224" s="28">
        <f t="shared" si="120"/>
        <v>38.477142857142859</v>
      </c>
      <c r="S224" s="27">
        <v>100</v>
      </c>
      <c r="T224" s="29">
        <f t="shared" si="116"/>
        <v>353.6</v>
      </c>
      <c r="U224" s="27">
        <v>260</v>
      </c>
      <c r="V224" s="27">
        <v>12</v>
      </c>
      <c r="W224" s="27">
        <v>84</v>
      </c>
      <c r="X224" s="29">
        <f t="shared" si="128"/>
        <v>185</v>
      </c>
      <c r="Y224" s="27" t="s">
        <v>102</v>
      </c>
      <c r="Z224" s="27" t="s">
        <v>102</v>
      </c>
      <c r="AA224" s="29">
        <f t="shared" si="121"/>
        <v>5</v>
      </c>
      <c r="AB224" s="29">
        <f t="shared" si="122"/>
        <v>8</v>
      </c>
      <c r="AC224" s="29" t="str">
        <f t="shared" si="123"/>
        <v/>
      </c>
      <c r="AD224" s="29" t="str">
        <f t="shared" si="124"/>
        <v/>
      </c>
      <c r="AE224" s="29" t="str">
        <f t="shared" si="125"/>
        <v/>
      </c>
      <c r="AF224" s="29" t="str">
        <f t="shared" si="126"/>
        <v/>
      </c>
      <c r="AG224" s="27">
        <v>13</v>
      </c>
      <c r="AH224" s="27">
        <v>0</v>
      </c>
      <c r="AI224" s="27">
        <v>0</v>
      </c>
      <c r="AJ224" s="23" t="s">
        <v>59</v>
      </c>
      <c r="AK224" s="23" t="s">
        <v>63</v>
      </c>
      <c r="AL224" s="30" t="s">
        <v>64</v>
      </c>
      <c r="AM224" s="23" t="s">
        <v>81</v>
      </c>
      <c r="AN224" s="31" t="str">
        <f t="shared" si="117"/>
        <v>2 doors</v>
      </c>
      <c r="AO224" s="23" t="s">
        <v>66</v>
      </c>
      <c r="AP224" s="23" t="s">
        <v>89</v>
      </c>
      <c r="AQ224" s="23" t="s">
        <v>78</v>
      </c>
      <c r="AR224" s="34">
        <f t="shared" si="127"/>
        <v>6721.01</v>
      </c>
      <c r="AS224" s="23">
        <v>67</v>
      </c>
      <c r="AT224" s="23">
        <v>21</v>
      </c>
      <c r="AU224" s="23">
        <v>1</v>
      </c>
    </row>
    <row r="225" spans="1:47">
      <c r="A225" s="26" t="s">
        <v>62</v>
      </c>
      <c r="B225" s="23" t="s">
        <v>82</v>
      </c>
      <c r="C225" s="23">
        <v>3</v>
      </c>
      <c r="E225" s="23" t="s">
        <v>60</v>
      </c>
      <c r="F225" s="23" t="s">
        <v>27</v>
      </c>
      <c r="G225" s="27">
        <v>2013</v>
      </c>
      <c r="H225" s="27">
        <v>20</v>
      </c>
      <c r="I225" s="27">
        <v>25</v>
      </c>
      <c r="J225" s="27">
        <v>20</v>
      </c>
      <c r="K225" s="27">
        <v>7</v>
      </c>
      <c r="L225" s="27">
        <v>14</v>
      </c>
      <c r="M225" s="27">
        <v>5</v>
      </c>
      <c r="P225" s="28">
        <f t="shared" si="118"/>
        <v>26</v>
      </c>
      <c r="Q225" s="28">
        <f t="shared" si="119"/>
        <v>26.037142857142857</v>
      </c>
      <c r="R225" s="28">
        <f t="shared" si="120"/>
        <v>39.130476190476188</v>
      </c>
      <c r="S225" s="27">
        <v>100</v>
      </c>
      <c r="T225" s="29">
        <f t="shared" si="116"/>
        <v>353.6</v>
      </c>
      <c r="U225" s="27">
        <v>260</v>
      </c>
      <c r="V225" s="27">
        <v>13</v>
      </c>
      <c r="W225" s="27">
        <v>92</v>
      </c>
      <c r="X225" s="29">
        <f t="shared" si="128"/>
        <v>185</v>
      </c>
      <c r="Y225" s="27" t="s">
        <v>69</v>
      </c>
      <c r="Z225" s="27" t="s">
        <v>315</v>
      </c>
      <c r="AA225" s="29">
        <f t="shared" si="121"/>
        <v>6</v>
      </c>
      <c r="AB225" s="29">
        <f t="shared" si="122"/>
        <v>8</v>
      </c>
      <c r="AC225" s="29" t="str">
        <f t="shared" si="123"/>
        <v/>
      </c>
      <c r="AD225" s="29" t="str">
        <f t="shared" si="124"/>
        <v/>
      </c>
      <c r="AE225" s="29" t="str">
        <f t="shared" si="125"/>
        <v/>
      </c>
      <c r="AF225" s="29" t="str">
        <f t="shared" si="126"/>
        <v/>
      </c>
      <c r="AG225" s="27">
        <v>14</v>
      </c>
      <c r="AH225" s="27">
        <v>0</v>
      </c>
      <c r="AI225" s="27">
        <v>0</v>
      </c>
      <c r="AJ225" s="23" t="s">
        <v>59</v>
      </c>
      <c r="AK225" s="23" t="s">
        <v>63</v>
      </c>
      <c r="AL225" s="30" t="s">
        <v>64</v>
      </c>
      <c r="AM225" s="23" t="s">
        <v>82</v>
      </c>
      <c r="AN225" s="31" t="str">
        <f t="shared" si="117"/>
        <v>3 doors</v>
      </c>
      <c r="AO225" s="23" t="s">
        <v>88</v>
      </c>
      <c r="AP225" s="23" t="s">
        <v>89</v>
      </c>
      <c r="AQ225" s="23" t="s">
        <v>78</v>
      </c>
      <c r="AR225" s="34">
        <f t="shared" si="127"/>
        <v>6722</v>
      </c>
      <c r="AS225" s="23">
        <v>67</v>
      </c>
      <c r="AT225" s="23">
        <v>22</v>
      </c>
      <c r="AU225" s="23">
        <v>0</v>
      </c>
    </row>
    <row r="226" spans="1:47">
      <c r="A226" s="26" t="s">
        <v>62</v>
      </c>
      <c r="B226" s="23" t="s">
        <v>82</v>
      </c>
      <c r="C226" s="23">
        <v>3</v>
      </c>
      <c r="E226" s="23" t="s">
        <v>60</v>
      </c>
      <c r="F226" s="23" t="s">
        <v>27</v>
      </c>
      <c r="G226" s="27">
        <v>2013</v>
      </c>
      <c r="H226" s="27">
        <v>20</v>
      </c>
      <c r="I226" s="27">
        <v>25</v>
      </c>
      <c r="J226" s="27">
        <v>20</v>
      </c>
      <c r="K226" s="27">
        <v>7</v>
      </c>
      <c r="L226" s="27">
        <v>14</v>
      </c>
      <c r="M226" s="27">
        <v>5</v>
      </c>
      <c r="P226" s="28">
        <f t="shared" si="118"/>
        <v>26</v>
      </c>
      <c r="Q226" s="28">
        <f t="shared" si="119"/>
        <v>26.037142857142857</v>
      </c>
      <c r="R226" s="28">
        <f t="shared" si="120"/>
        <v>39.130476190476188</v>
      </c>
      <c r="S226" s="27">
        <v>100</v>
      </c>
      <c r="T226" s="29">
        <f t="shared" si="116"/>
        <v>353.6</v>
      </c>
      <c r="U226" s="27">
        <v>260</v>
      </c>
      <c r="V226" s="27">
        <v>13</v>
      </c>
      <c r="W226" s="27">
        <v>92</v>
      </c>
      <c r="X226" s="29">
        <f t="shared" si="128"/>
        <v>185</v>
      </c>
      <c r="Y226" s="27" t="s">
        <v>102</v>
      </c>
      <c r="Z226" s="27" t="s">
        <v>102</v>
      </c>
      <c r="AA226" s="29">
        <f t="shared" si="121"/>
        <v>6</v>
      </c>
      <c r="AB226" s="29">
        <f t="shared" si="122"/>
        <v>8</v>
      </c>
      <c r="AC226" s="29" t="str">
        <f t="shared" si="123"/>
        <v/>
      </c>
      <c r="AD226" s="29" t="str">
        <f t="shared" si="124"/>
        <v/>
      </c>
      <c r="AE226" s="29" t="str">
        <f t="shared" si="125"/>
        <v/>
      </c>
      <c r="AF226" s="29" t="str">
        <f t="shared" si="126"/>
        <v/>
      </c>
      <c r="AG226" s="27">
        <v>14</v>
      </c>
      <c r="AH226" s="27">
        <v>0</v>
      </c>
      <c r="AI226" s="27">
        <v>0</v>
      </c>
      <c r="AJ226" s="23" t="s">
        <v>59</v>
      </c>
      <c r="AK226" s="23" t="s">
        <v>63</v>
      </c>
      <c r="AL226" s="30" t="s">
        <v>64</v>
      </c>
      <c r="AM226" s="23" t="s">
        <v>82</v>
      </c>
      <c r="AN226" s="31" t="str">
        <f t="shared" si="117"/>
        <v>3 doors</v>
      </c>
      <c r="AO226" s="23" t="s">
        <v>88</v>
      </c>
      <c r="AP226" s="23" t="s">
        <v>89</v>
      </c>
      <c r="AQ226" s="23" t="s">
        <v>78</v>
      </c>
      <c r="AR226" s="34">
        <f t="shared" si="127"/>
        <v>6722.01</v>
      </c>
      <c r="AS226" s="23">
        <v>67</v>
      </c>
      <c r="AT226" s="23">
        <v>22</v>
      </c>
      <c r="AU226" s="23">
        <v>1</v>
      </c>
    </row>
    <row r="227" spans="1:47">
      <c r="A227" s="26" t="s">
        <v>62</v>
      </c>
      <c r="B227" s="23" t="s">
        <v>82</v>
      </c>
      <c r="C227" s="23">
        <v>2</v>
      </c>
      <c r="E227" s="23" t="s">
        <v>60</v>
      </c>
      <c r="F227" s="23" t="s">
        <v>28</v>
      </c>
      <c r="G227" s="27">
        <v>2013</v>
      </c>
      <c r="H227" s="27">
        <v>20</v>
      </c>
      <c r="I227" s="27">
        <v>25</v>
      </c>
      <c r="J227" s="27">
        <v>20</v>
      </c>
      <c r="K227" s="27">
        <v>7</v>
      </c>
      <c r="L227" s="27">
        <v>14</v>
      </c>
      <c r="P227" s="28">
        <f t="shared" si="118"/>
        <v>21</v>
      </c>
      <c r="Q227" s="28">
        <f t="shared" si="119"/>
        <v>25.68</v>
      </c>
      <c r="R227" s="28">
        <f t="shared" si="120"/>
        <v>38.786666666666669</v>
      </c>
      <c r="S227" s="27">
        <v>100</v>
      </c>
      <c r="T227" s="29">
        <f t="shared" ref="T227:T258" si="129">U227*1.36</f>
        <v>353.6</v>
      </c>
      <c r="U227" s="27">
        <v>260</v>
      </c>
      <c r="V227" s="27">
        <v>13</v>
      </c>
      <c r="W227" s="27">
        <v>94</v>
      </c>
      <c r="X227" s="29">
        <f t="shared" si="128"/>
        <v>185</v>
      </c>
      <c r="Y227" s="27" t="s">
        <v>69</v>
      </c>
      <c r="Z227" s="27" t="s">
        <v>315</v>
      </c>
      <c r="AA227" s="29">
        <f t="shared" si="121"/>
        <v>6</v>
      </c>
      <c r="AB227" s="29">
        <f t="shared" si="122"/>
        <v>8</v>
      </c>
      <c r="AC227" s="29" t="str">
        <f t="shared" si="123"/>
        <v/>
      </c>
      <c r="AD227" s="29" t="str">
        <f t="shared" si="124"/>
        <v/>
      </c>
      <c r="AE227" s="29" t="str">
        <f t="shared" si="125"/>
        <v/>
      </c>
      <c r="AF227" s="29" t="str">
        <f t="shared" si="126"/>
        <v/>
      </c>
      <c r="AG227" s="27">
        <v>14</v>
      </c>
      <c r="AH227" s="27">
        <v>0</v>
      </c>
      <c r="AI227" s="27">
        <v>0</v>
      </c>
      <c r="AJ227" s="23" t="s">
        <v>59</v>
      </c>
      <c r="AK227" s="23" t="s">
        <v>63</v>
      </c>
      <c r="AL227" s="30" t="s">
        <v>64</v>
      </c>
      <c r="AM227" s="23" t="s">
        <v>82</v>
      </c>
      <c r="AN227" s="31" t="str">
        <f t="shared" ref="AN227:AN260" si="130">IF(O227&gt;0, "5 doors", IF(N227&gt;0, "4 doors", IF(M227&gt;0, "3 doors", IF(L227&gt;0, "2 doors", "1 door"))))</f>
        <v>2 doors</v>
      </c>
      <c r="AO227" s="23" t="s">
        <v>88</v>
      </c>
      <c r="AP227" s="23" t="s">
        <v>89</v>
      </c>
      <c r="AQ227" s="23" t="s">
        <v>78</v>
      </c>
      <c r="AR227" s="34">
        <f t="shared" si="127"/>
        <v>6723</v>
      </c>
      <c r="AS227" s="23">
        <v>67</v>
      </c>
      <c r="AT227" s="23">
        <v>23</v>
      </c>
      <c r="AU227" s="23">
        <v>0</v>
      </c>
    </row>
    <row r="228" spans="1:47">
      <c r="A228" s="26" t="s">
        <v>62</v>
      </c>
      <c r="B228" s="23" t="s">
        <v>82</v>
      </c>
      <c r="C228" s="23">
        <v>2</v>
      </c>
      <c r="E228" s="23" t="s">
        <v>60</v>
      </c>
      <c r="F228" s="23" t="s">
        <v>28</v>
      </c>
      <c r="G228" s="27">
        <v>2013</v>
      </c>
      <c r="H228" s="27">
        <v>20</v>
      </c>
      <c r="I228" s="27">
        <v>25</v>
      </c>
      <c r="J228" s="27">
        <v>20</v>
      </c>
      <c r="K228" s="27">
        <v>7</v>
      </c>
      <c r="L228" s="27">
        <v>14</v>
      </c>
      <c r="P228" s="28">
        <f t="shared" si="118"/>
        <v>21</v>
      </c>
      <c r="Q228" s="28">
        <f t="shared" si="119"/>
        <v>25.68</v>
      </c>
      <c r="R228" s="28">
        <f t="shared" si="120"/>
        <v>38.786666666666669</v>
      </c>
      <c r="S228" s="27">
        <v>100</v>
      </c>
      <c r="T228" s="29">
        <f t="shared" si="129"/>
        <v>353.6</v>
      </c>
      <c r="U228" s="27">
        <v>260</v>
      </c>
      <c r="V228" s="27">
        <v>13</v>
      </c>
      <c r="W228" s="27">
        <v>94</v>
      </c>
      <c r="X228" s="29">
        <f t="shared" si="128"/>
        <v>185</v>
      </c>
      <c r="Y228" s="27" t="s">
        <v>102</v>
      </c>
      <c r="Z228" s="27" t="s">
        <v>102</v>
      </c>
      <c r="AA228" s="29">
        <f t="shared" si="121"/>
        <v>6</v>
      </c>
      <c r="AB228" s="29">
        <f t="shared" si="122"/>
        <v>8</v>
      </c>
      <c r="AC228" s="29" t="str">
        <f t="shared" si="123"/>
        <v/>
      </c>
      <c r="AD228" s="29" t="str">
        <f t="shared" si="124"/>
        <v/>
      </c>
      <c r="AE228" s="29" t="str">
        <f t="shared" si="125"/>
        <v/>
      </c>
      <c r="AF228" s="29" t="str">
        <f t="shared" si="126"/>
        <v/>
      </c>
      <c r="AG228" s="27">
        <v>14</v>
      </c>
      <c r="AH228" s="27">
        <v>0</v>
      </c>
      <c r="AI228" s="27">
        <v>0</v>
      </c>
      <c r="AJ228" s="23" t="s">
        <v>59</v>
      </c>
      <c r="AK228" s="23" t="s">
        <v>63</v>
      </c>
      <c r="AL228" s="30" t="s">
        <v>64</v>
      </c>
      <c r="AM228" s="23" t="s">
        <v>82</v>
      </c>
      <c r="AN228" s="31" t="str">
        <f t="shared" si="130"/>
        <v>2 doors</v>
      </c>
      <c r="AO228" s="23" t="s">
        <v>88</v>
      </c>
      <c r="AP228" s="23" t="s">
        <v>89</v>
      </c>
      <c r="AQ228" s="23" t="s">
        <v>78</v>
      </c>
      <c r="AR228" s="34">
        <f t="shared" si="127"/>
        <v>6723.01</v>
      </c>
      <c r="AS228" s="23">
        <v>67</v>
      </c>
      <c r="AT228" s="23">
        <v>23</v>
      </c>
      <c r="AU228" s="23">
        <v>1</v>
      </c>
    </row>
    <row r="229" spans="1:47">
      <c r="A229" s="26" t="s">
        <v>62</v>
      </c>
      <c r="B229" s="23" t="s">
        <v>83</v>
      </c>
      <c r="C229" s="23">
        <v>3</v>
      </c>
      <c r="E229" s="23" t="s">
        <v>60</v>
      </c>
      <c r="F229" s="23" t="s">
        <v>17</v>
      </c>
      <c r="G229" s="27">
        <v>2012</v>
      </c>
      <c r="H229" s="27">
        <v>20</v>
      </c>
      <c r="I229" s="27">
        <v>25</v>
      </c>
      <c r="J229" s="27">
        <v>20</v>
      </c>
      <c r="K229" s="27">
        <v>5</v>
      </c>
      <c r="L229" s="27">
        <v>14</v>
      </c>
      <c r="M229" s="27">
        <v>14</v>
      </c>
      <c r="P229" s="28">
        <f t="shared" si="118"/>
        <v>33</v>
      </c>
      <c r="Q229" s="28">
        <f t="shared" si="119"/>
        <v>31.07714285714286</v>
      </c>
      <c r="R229" s="28">
        <f t="shared" si="120"/>
        <v>44.44380952380952</v>
      </c>
      <c r="S229" s="27">
        <v>100</v>
      </c>
      <c r="T229" s="29">
        <f t="shared" si="129"/>
        <v>394.40000000000003</v>
      </c>
      <c r="U229" s="27">
        <v>290</v>
      </c>
      <c r="V229" s="27">
        <v>18</v>
      </c>
      <c r="W229" s="27">
        <v>127</v>
      </c>
      <c r="X229" s="29">
        <f t="shared" si="128"/>
        <v>185</v>
      </c>
      <c r="Y229" s="27" t="s">
        <v>69</v>
      </c>
      <c r="Z229" s="27" t="s">
        <v>315</v>
      </c>
      <c r="AA229" s="29">
        <f t="shared" si="121"/>
        <v>3</v>
      </c>
      <c r="AB229" s="29">
        <f t="shared" si="122"/>
        <v>8</v>
      </c>
      <c r="AC229" s="29">
        <f t="shared" si="123"/>
        <v>8</v>
      </c>
      <c r="AD229" s="29" t="str">
        <f t="shared" si="124"/>
        <v/>
      </c>
      <c r="AE229" s="29" t="str">
        <f t="shared" si="125"/>
        <v/>
      </c>
      <c r="AF229" s="29" t="str">
        <f t="shared" si="126"/>
        <v/>
      </c>
      <c r="AG229" s="27">
        <v>11</v>
      </c>
      <c r="AH229" s="27">
        <v>8</v>
      </c>
      <c r="AI229" s="27">
        <v>0</v>
      </c>
      <c r="AJ229" s="23" t="s">
        <v>59</v>
      </c>
      <c r="AK229" s="23" t="s">
        <v>63</v>
      </c>
      <c r="AL229" s="30" t="s">
        <v>64</v>
      </c>
      <c r="AM229" s="23" t="s">
        <v>83</v>
      </c>
      <c r="AN229" s="31" t="str">
        <f t="shared" si="130"/>
        <v>3 doors</v>
      </c>
      <c r="AO229" s="23" t="s">
        <v>85</v>
      </c>
      <c r="AP229" s="23" t="s">
        <v>89</v>
      </c>
      <c r="AQ229" s="23" t="s">
        <v>78</v>
      </c>
      <c r="AR229" s="34">
        <f t="shared" si="127"/>
        <v>6724</v>
      </c>
      <c r="AS229" s="23">
        <v>67</v>
      </c>
      <c r="AT229" s="23">
        <v>24</v>
      </c>
      <c r="AU229" s="23">
        <v>0</v>
      </c>
    </row>
    <row r="230" spans="1:47">
      <c r="A230" s="26" t="s">
        <v>62</v>
      </c>
      <c r="B230" s="23" t="s">
        <v>83</v>
      </c>
      <c r="C230" s="23">
        <v>3</v>
      </c>
      <c r="E230" s="23" t="s">
        <v>60</v>
      </c>
      <c r="F230" s="23" t="s">
        <v>17</v>
      </c>
      <c r="G230" s="27">
        <v>2012</v>
      </c>
      <c r="H230" s="27">
        <v>20</v>
      </c>
      <c r="I230" s="27">
        <v>25</v>
      </c>
      <c r="J230" s="27">
        <v>20</v>
      </c>
      <c r="K230" s="27">
        <v>5</v>
      </c>
      <c r="L230" s="27">
        <v>14</v>
      </c>
      <c r="M230" s="27">
        <v>14</v>
      </c>
      <c r="P230" s="28">
        <f t="shared" si="118"/>
        <v>33</v>
      </c>
      <c r="Q230" s="28">
        <f t="shared" si="119"/>
        <v>31.07714285714286</v>
      </c>
      <c r="R230" s="28">
        <f t="shared" si="120"/>
        <v>44.44380952380952</v>
      </c>
      <c r="S230" s="27">
        <v>100</v>
      </c>
      <c r="T230" s="29">
        <f t="shared" si="129"/>
        <v>394.40000000000003</v>
      </c>
      <c r="U230" s="27">
        <v>290</v>
      </c>
      <c r="V230" s="27">
        <v>18</v>
      </c>
      <c r="W230" s="27">
        <v>127</v>
      </c>
      <c r="X230" s="29">
        <f t="shared" si="128"/>
        <v>185</v>
      </c>
      <c r="Y230" s="27" t="s">
        <v>102</v>
      </c>
      <c r="Z230" s="27" t="s">
        <v>102</v>
      </c>
      <c r="AA230" s="29">
        <f t="shared" si="121"/>
        <v>3</v>
      </c>
      <c r="AB230" s="29">
        <f t="shared" si="122"/>
        <v>8</v>
      </c>
      <c r="AC230" s="29">
        <f t="shared" si="123"/>
        <v>8</v>
      </c>
      <c r="AD230" s="29" t="str">
        <f t="shared" si="124"/>
        <v/>
      </c>
      <c r="AE230" s="29" t="str">
        <f t="shared" si="125"/>
        <v/>
      </c>
      <c r="AF230" s="29" t="str">
        <f t="shared" si="126"/>
        <v/>
      </c>
      <c r="AG230" s="27">
        <v>11</v>
      </c>
      <c r="AH230" s="27">
        <v>8</v>
      </c>
      <c r="AI230" s="27">
        <v>0</v>
      </c>
      <c r="AJ230" s="23" t="s">
        <v>59</v>
      </c>
      <c r="AK230" s="23" t="s">
        <v>63</v>
      </c>
      <c r="AL230" s="30" t="s">
        <v>64</v>
      </c>
      <c r="AM230" s="23" t="s">
        <v>83</v>
      </c>
      <c r="AN230" s="31" t="str">
        <f t="shared" si="130"/>
        <v>3 doors</v>
      </c>
      <c r="AO230" s="23" t="s">
        <v>85</v>
      </c>
      <c r="AP230" s="23" t="s">
        <v>89</v>
      </c>
      <c r="AQ230" s="23" t="s">
        <v>78</v>
      </c>
      <c r="AR230" s="34">
        <f t="shared" si="127"/>
        <v>6724.01</v>
      </c>
      <c r="AS230" s="23">
        <v>67</v>
      </c>
      <c r="AT230" s="23">
        <v>24</v>
      </c>
      <c r="AU230" s="23">
        <v>1</v>
      </c>
    </row>
    <row r="231" spans="1:47">
      <c r="A231" s="26" t="s">
        <v>226</v>
      </c>
      <c r="B231" s="23" t="s">
        <v>55</v>
      </c>
      <c r="C231" s="23">
        <v>3</v>
      </c>
      <c r="E231" s="23" t="s">
        <v>60</v>
      </c>
      <c r="F231" s="23" t="s">
        <v>290</v>
      </c>
      <c r="G231" s="27">
        <v>1999</v>
      </c>
      <c r="H231" s="27">
        <v>20</v>
      </c>
      <c r="I231" s="27">
        <v>25</v>
      </c>
      <c r="J231" s="27">
        <v>20</v>
      </c>
      <c r="K231" s="27">
        <v>14</v>
      </c>
      <c r="L231" s="27">
        <v>14</v>
      </c>
      <c r="M231" s="27">
        <v>14</v>
      </c>
      <c r="P231" s="28">
        <f t="shared" si="118"/>
        <v>42</v>
      </c>
      <c r="Q231" s="28">
        <f t="shared" si="119"/>
        <v>22.532000000000004</v>
      </c>
      <c r="R231" s="28">
        <f t="shared" si="120"/>
        <v>31.864000000000004</v>
      </c>
      <c r="S231" s="27">
        <v>70</v>
      </c>
      <c r="T231" s="29">
        <f t="shared" si="129"/>
        <v>270.64000000000004</v>
      </c>
      <c r="U231" s="27">
        <v>199</v>
      </c>
      <c r="V231" s="27">
        <v>12</v>
      </c>
      <c r="W231" s="27">
        <v>90</v>
      </c>
      <c r="X231" s="29">
        <f t="shared" si="128"/>
        <v>200</v>
      </c>
      <c r="Y231" s="27" t="s">
        <v>69</v>
      </c>
      <c r="Z231" s="27" t="s">
        <v>69</v>
      </c>
      <c r="AA231" s="29">
        <f t="shared" si="121"/>
        <v>5</v>
      </c>
      <c r="AB231" s="29">
        <f t="shared" si="122"/>
        <v>8</v>
      </c>
      <c r="AC231" s="29" t="str">
        <f t="shared" si="123"/>
        <v/>
      </c>
      <c r="AD231" s="29" t="str">
        <f t="shared" si="124"/>
        <v/>
      </c>
      <c r="AE231" s="29" t="str">
        <f t="shared" si="125"/>
        <v/>
      </c>
      <c r="AF231" s="29" t="str">
        <f t="shared" si="126"/>
        <v/>
      </c>
      <c r="AG231" s="27">
        <v>13</v>
      </c>
      <c r="AH231" s="27">
        <v>0</v>
      </c>
      <c r="AI231" s="27">
        <v>0</v>
      </c>
      <c r="AJ231" s="23" t="s">
        <v>279</v>
      </c>
      <c r="AK231" s="23" t="s">
        <v>226</v>
      </c>
      <c r="AN231" s="31" t="str">
        <f t="shared" si="130"/>
        <v>3 doors</v>
      </c>
      <c r="AO231" s="23" t="s">
        <v>66</v>
      </c>
      <c r="AP231" s="23" t="s">
        <v>71</v>
      </c>
      <c r="AQ231" s="23" t="s">
        <v>78</v>
      </c>
      <c r="AR231" s="34">
        <f t="shared" si="127"/>
        <v>7000</v>
      </c>
      <c r="AS231" s="23">
        <v>70</v>
      </c>
      <c r="AT231" s="23">
        <v>0</v>
      </c>
      <c r="AU231" s="23">
        <v>0</v>
      </c>
    </row>
    <row r="232" spans="1:47">
      <c r="A232" s="26" t="s">
        <v>226</v>
      </c>
      <c r="B232" s="23" t="s">
        <v>55</v>
      </c>
      <c r="C232" s="23">
        <v>3</v>
      </c>
      <c r="E232" s="23" t="s">
        <v>60</v>
      </c>
      <c r="F232" s="23" t="s">
        <v>290</v>
      </c>
      <c r="G232" s="27">
        <v>1999</v>
      </c>
      <c r="H232" s="27">
        <v>20</v>
      </c>
      <c r="I232" s="27">
        <v>25</v>
      </c>
      <c r="J232" s="27">
        <v>20</v>
      </c>
      <c r="K232" s="27">
        <v>14</v>
      </c>
      <c r="L232" s="27">
        <v>14</v>
      </c>
      <c r="M232" s="27">
        <v>14</v>
      </c>
      <c r="P232" s="28">
        <f t="shared" si="118"/>
        <v>42</v>
      </c>
      <c r="Q232" s="28">
        <f t="shared" si="119"/>
        <v>22.532000000000004</v>
      </c>
      <c r="R232" s="28">
        <f t="shared" si="120"/>
        <v>31.864000000000004</v>
      </c>
      <c r="S232" s="27">
        <v>70</v>
      </c>
      <c r="T232" s="29">
        <f t="shared" si="129"/>
        <v>270.64000000000004</v>
      </c>
      <c r="U232" s="27">
        <v>199</v>
      </c>
      <c r="V232" s="27">
        <v>12</v>
      </c>
      <c r="W232" s="27">
        <v>90</v>
      </c>
      <c r="X232" s="29">
        <f t="shared" si="128"/>
        <v>200</v>
      </c>
      <c r="Y232" s="27" t="s">
        <v>102</v>
      </c>
      <c r="Z232" s="27" t="s">
        <v>102</v>
      </c>
      <c r="AA232" s="29">
        <f t="shared" si="121"/>
        <v>5</v>
      </c>
      <c r="AB232" s="29">
        <f t="shared" si="122"/>
        <v>8</v>
      </c>
      <c r="AC232" s="29" t="str">
        <f t="shared" si="123"/>
        <v/>
      </c>
      <c r="AD232" s="29" t="str">
        <f t="shared" si="124"/>
        <v/>
      </c>
      <c r="AE232" s="29" t="str">
        <f t="shared" si="125"/>
        <v/>
      </c>
      <c r="AF232" s="29" t="str">
        <f t="shared" si="126"/>
        <v/>
      </c>
      <c r="AG232" s="27">
        <v>13</v>
      </c>
      <c r="AH232" s="27">
        <v>0</v>
      </c>
      <c r="AI232" s="27">
        <v>0</v>
      </c>
      <c r="AJ232" s="23" t="s">
        <v>279</v>
      </c>
      <c r="AK232" s="23" t="s">
        <v>226</v>
      </c>
      <c r="AN232" s="31" t="str">
        <f t="shared" si="130"/>
        <v>3 doors</v>
      </c>
      <c r="AO232" s="23" t="s">
        <v>66</v>
      </c>
      <c r="AP232" s="23" t="s">
        <v>71</v>
      </c>
      <c r="AQ232" s="23" t="s">
        <v>78</v>
      </c>
      <c r="AR232" s="34">
        <f t="shared" si="127"/>
        <v>7000.01</v>
      </c>
      <c r="AS232" s="23">
        <v>70</v>
      </c>
      <c r="AT232" s="23">
        <v>0</v>
      </c>
      <c r="AU232" s="23">
        <v>1</v>
      </c>
    </row>
    <row r="233" spans="1:47">
      <c r="A233" s="26" t="s">
        <v>230</v>
      </c>
      <c r="B233" s="23" t="s">
        <v>233</v>
      </c>
      <c r="C233" s="23">
        <v>4</v>
      </c>
      <c r="E233" s="23" t="s">
        <v>60</v>
      </c>
      <c r="F233" s="23" t="s">
        <v>291</v>
      </c>
      <c r="G233" s="27">
        <v>1999</v>
      </c>
      <c r="H233" s="27">
        <v>20</v>
      </c>
      <c r="I233" s="27">
        <v>25</v>
      </c>
      <c r="J233" s="27">
        <v>20</v>
      </c>
      <c r="K233" s="27">
        <v>14</v>
      </c>
      <c r="L233" s="27">
        <v>14</v>
      </c>
      <c r="M233" s="27">
        <v>14</v>
      </c>
      <c r="N233" s="27">
        <v>14</v>
      </c>
      <c r="P233" s="28">
        <f t="shared" si="118"/>
        <v>56</v>
      </c>
      <c r="Q233" s="28">
        <f t="shared" si="119"/>
        <v>26.236000000000001</v>
      </c>
      <c r="R233" s="28">
        <f t="shared" si="120"/>
        <v>34.25866666666667</v>
      </c>
      <c r="S233" s="27">
        <v>70</v>
      </c>
      <c r="T233" s="29">
        <f t="shared" si="129"/>
        <v>274.72000000000003</v>
      </c>
      <c r="U233" s="27">
        <v>202</v>
      </c>
      <c r="V233" s="27">
        <v>17</v>
      </c>
      <c r="W233" s="27">
        <v>163</v>
      </c>
      <c r="X233" s="29">
        <f t="shared" si="128"/>
        <v>200</v>
      </c>
      <c r="Y233" s="27" t="s">
        <v>69</v>
      </c>
      <c r="Z233" s="27" t="s">
        <v>69</v>
      </c>
      <c r="AA233" s="29">
        <f t="shared" si="121"/>
        <v>2</v>
      </c>
      <c r="AB233" s="29">
        <f t="shared" si="122"/>
        <v>8</v>
      </c>
      <c r="AC233" s="29">
        <f t="shared" si="123"/>
        <v>1</v>
      </c>
      <c r="AD233" s="29">
        <f t="shared" si="124"/>
        <v>8</v>
      </c>
      <c r="AE233" s="29" t="str">
        <f t="shared" si="125"/>
        <v/>
      </c>
      <c r="AF233" s="29" t="str">
        <f t="shared" si="126"/>
        <v/>
      </c>
      <c r="AG233" s="27">
        <v>10</v>
      </c>
      <c r="AH233" s="27">
        <v>9</v>
      </c>
      <c r="AI233" s="27">
        <v>0</v>
      </c>
      <c r="AJ233" s="23" t="s">
        <v>279</v>
      </c>
      <c r="AK233" s="23" t="s">
        <v>230</v>
      </c>
      <c r="AN233" s="31" t="str">
        <f t="shared" si="130"/>
        <v>4 doors</v>
      </c>
      <c r="AO233" s="23" t="s">
        <v>85</v>
      </c>
      <c r="AP233" s="23" t="s">
        <v>71</v>
      </c>
      <c r="AQ233" s="23" t="s">
        <v>78</v>
      </c>
      <c r="AR233" s="34">
        <f t="shared" si="127"/>
        <v>7001</v>
      </c>
      <c r="AS233" s="23">
        <v>70</v>
      </c>
      <c r="AT233" s="23">
        <v>1</v>
      </c>
      <c r="AU233" s="23">
        <v>0</v>
      </c>
    </row>
    <row r="234" spans="1:47">
      <c r="A234" s="26" t="s">
        <v>230</v>
      </c>
      <c r="B234" s="23" t="s">
        <v>233</v>
      </c>
      <c r="C234" s="23">
        <v>4</v>
      </c>
      <c r="E234" s="23" t="s">
        <v>60</v>
      </c>
      <c r="F234" s="23" t="s">
        <v>291</v>
      </c>
      <c r="G234" s="27">
        <v>1999</v>
      </c>
      <c r="H234" s="27">
        <v>20</v>
      </c>
      <c r="I234" s="27">
        <v>25</v>
      </c>
      <c r="J234" s="27">
        <v>20</v>
      </c>
      <c r="K234" s="27">
        <v>14</v>
      </c>
      <c r="L234" s="27">
        <v>14</v>
      </c>
      <c r="M234" s="27">
        <v>14</v>
      </c>
      <c r="N234" s="27">
        <v>14</v>
      </c>
      <c r="P234" s="28">
        <f t="shared" si="118"/>
        <v>56</v>
      </c>
      <c r="Q234" s="28">
        <f t="shared" si="119"/>
        <v>26.236000000000001</v>
      </c>
      <c r="R234" s="28">
        <f t="shared" si="120"/>
        <v>34.25866666666667</v>
      </c>
      <c r="S234" s="27">
        <v>70</v>
      </c>
      <c r="T234" s="29">
        <f t="shared" si="129"/>
        <v>274.72000000000003</v>
      </c>
      <c r="U234" s="27">
        <v>202</v>
      </c>
      <c r="V234" s="27">
        <v>17</v>
      </c>
      <c r="W234" s="27">
        <v>163</v>
      </c>
      <c r="X234" s="29">
        <f t="shared" si="128"/>
        <v>200</v>
      </c>
      <c r="Y234" s="27" t="s">
        <v>102</v>
      </c>
      <c r="Z234" s="27" t="s">
        <v>102</v>
      </c>
      <c r="AA234" s="29">
        <f t="shared" si="121"/>
        <v>2</v>
      </c>
      <c r="AB234" s="29">
        <f t="shared" si="122"/>
        <v>8</v>
      </c>
      <c r="AC234" s="29">
        <f t="shared" si="123"/>
        <v>1</v>
      </c>
      <c r="AD234" s="29">
        <f t="shared" si="124"/>
        <v>8</v>
      </c>
      <c r="AE234" s="29" t="str">
        <f t="shared" si="125"/>
        <v/>
      </c>
      <c r="AF234" s="29" t="str">
        <f t="shared" si="126"/>
        <v/>
      </c>
      <c r="AG234" s="27">
        <v>10</v>
      </c>
      <c r="AH234" s="27">
        <v>9</v>
      </c>
      <c r="AI234" s="27">
        <v>0</v>
      </c>
      <c r="AJ234" s="23" t="s">
        <v>279</v>
      </c>
      <c r="AK234" s="23" t="s">
        <v>230</v>
      </c>
      <c r="AN234" s="31" t="str">
        <f t="shared" si="130"/>
        <v>4 doors</v>
      </c>
      <c r="AO234" s="23" t="s">
        <v>85</v>
      </c>
      <c r="AP234" s="23" t="s">
        <v>71</v>
      </c>
      <c r="AQ234" s="23" t="s">
        <v>78</v>
      </c>
      <c r="AR234" s="34">
        <f t="shared" si="127"/>
        <v>7001.01</v>
      </c>
      <c r="AS234" s="23">
        <v>70</v>
      </c>
      <c r="AT234" s="23">
        <v>1</v>
      </c>
      <c r="AU234" s="23">
        <v>1</v>
      </c>
    </row>
    <row r="235" spans="1:47">
      <c r="A235" s="26" t="s">
        <v>230</v>
      </c>
      <c r="B235" s="23" t="s">
        <v>233</v>
      </c>
      <c r="C235" s="23">
        <v>3</v>
      </c>
      <c r="E235" s="23" t="s">
        <v>60</v>
      </c>
      <c r="F235" s="23" t="s">
        <v>292</v>
      </c>
      <c r="G235" s="27">
        <v>1999</v>
      </c>
      <c r="H235" s="27">
        <v>20</v>
      </c>
      <c r="I235" s="27">
        <v>25</v>
      </c>
      <c r="J235" s="27">
        <v>20</v>
      </c>
      <c r="K235" s="27">
        <v>14</v>
      </c>
      <c r="L235" s="27">
        <v>14</v>
      </c>
      <c r="M235" s="27">
        <v>14</v>
      </c>
      <c r="P235" s="28">
        <f t="shared" si="118"/>
        <v>42</v>
      </c>
      <c r="Q235" s="28">
        <f t="shared" si="119"/>
        <v>25.236000000000001</v>
      </c>
      <c r="R235" s="28">
        <f t="shared" si="120"/>
        <v>33.25866666666667</v>
      </c>
      <c r="S235" s="27">
        <v>70</v>
      </c>
      <c r="T235" s="29">
        <f t="shared" si="129"/>
        <v>274.72000000000003</v>
      </c>
      <c r="U235" s="27">
        <v>202</v>
      </c>
      <c r="V235" s="27">
        <v>17</v>
      </c>
      <c r="W235" s="27">
        <v>163</v>
      </c>
      <c r="X235" s="29">
        <f t="shared" si="128"/>
        <v>200</v>
      </c>
      <c r="Y235" s="27" t="s">
        <v>69</v>
      </c>
      <c r="Z235" s="27" t="s">
        <v>69</v>
      </c>
      <c r="AA235" s="29">
        <f t="shared" si="121"/>
        <v>2</v>
      </c>
      <c r="AB235" s="29">
        <f t="shared" si="122"/>
        <v>8</v>
      </c>
      <c r="AC235" s="29">
        <f t="shared" si="123"/>
        <v>1</v>
      </c>
      <c r="AD235" s="29">
        <f t="shared" si="124"/>
        <v>8</v>
      </c>
      <c r="AE235" s="29" t="str">
        <f t="shared" si="125"/>
        <v/>
      </c>
      <c r="AF235" s="29" t="str">
        <f t="shared" si="126"/>
        <v/>
      </c>
      <c r="AG235" s="27">
        <v>10</v>
      </c>
      <c r="AH235" s="27">
        <v>9</v>
      </c>
      <c r="AI235" s="27">
        <v>0</v>
      </c>
      <c r="AJ235" s="23" t="s">
        <v>279</v>
      </c>
      <c r="AK235" s="23" t="s">
        <v>230</v>
      </c>
      <c r="AN235" s="31" t="str">
        <f t="shared" si="130"/>
        <v>3 doors</v>
      </c>
      <c r="AO235" s="23" t="s">
        <v>85</v>
      </c>
      <c r="AP235" s="23" t="s">
        <v>71</v>
      </c>
      <c r="AQ235" s="23" t="s">
        <v>78</v>
      </c>
      <c r="AR235" s="34">
        <f t="shared" si="127"/>
        <v>7002</v>
      </c>
      <c r="AS235" s="23">
        <v>70</v>
      </c>
      <c r="AT235" s="23">
        <v>2</v>
      </c>
      <c r="AU235" s="23">
        <v>0</v>
      </c>
    </row>
    <row r="236" spans="1:47">
      <c r="A236" s="26" t="s">
        <v>231</v>
      </c>
      <c r="B236" s="23" t="s">
        <v>55</v>
      </c>
      <c r="C236" s="23">
        <v>3</v>
      </c>
      <c r="E236" s="23" t="s">
        <v>60</v>
      </c>
      <c r="F236" s="23" t="s">
        <v>293</v>
      </c>
      <c r="G236" s="27">
        <v>2006</v>
      </c>
      <c r="H236" s="27">
        <v>20</v>
      </c>
      <c r="I236" s="27">
        <v>25</v>
      </c>
      <c r="J236" s="27">
        <v>20</v>
      </c>
      <c r="K236" s="27">
        <v>14</v>
      </c>
      <c r="L236" s="27">
        <v>14</v>
      </c>
      <c r="M236" s="27">
        <v>14</v>
      </c>
      <c r="P236" s="28">
        <f t="shared" si="118"/>
        <v>42</v>
      </c>
      <c r="Q236" s="28">
        <f t="shared" si="119"/>
        <v>22.532000000000004</v>
      </c>
      <c r="R236" s="28">
        <f t="shared" si="120"/>
        <v>31.864000000000004</v>
      </c>
      <c r="S236" s="27">
        <v>70</v>
      </c>
      <c r="T236" s="29">
        <f t="shared" si="129"/>
        <v>270.64000000000004</v>
      </c>
      <c r="U236" s="27">
        <v>199</v>
      </c>
      <c r="V236" s="27">
        <v>12</v>
      </c>
      <c r="W236" s="27">
        <v>90</v>
      </c>
      <c r="X236" s="29">
        <f t="shared" si="128"/>
        <v>200</v>
      </c>
      <c r="Y236" s="27" t="s">
        <v>69</v>
      </c>
      <c r="Z236" s="27" t="s">
        <v>69</v>
      </c>
      <c r="AA236" s="29">
        <f t="shared" si="121"/>
        <v>5</v>
      </c>
      <c r="AB236" s="29">
        <f t="shared" si="122"/>
        <v>8</v>
      </c>
      <c r="AC236" s="29" t="str">
        <f t="shared" si="123"/>
        <v/>
      </c>
      <c r="AD236" s="29" t="str">
        <f t="shared" si="124"/>
        <v/>
      </c>
      <c r="AE236" s="29" t="str">
        <f t="shared" si="125"/>
        <v/>
      </c>
      <c r="AF236" s="29" t="str">
        <f t="shared" si="126"/>
        <v/>
      </c>
      <c r="AG236" s="27">
        <v>13</v>
      </c>
      <c r="AH236" s="27">
        <v>0</v>
      </c>
      <c r="AI236" s="27">
        <v>0</v>
      </c>
      <c r="AJ236" s="23" t="s">
        <v>279</v>
      </c>
      <c r="AK236" s="23" t="s">
        <v>226</v>
      </c>
      <c r="AL236" s="30" t="s">
        <v>280</v>
      </c>
      <c r="AN236" s="31" t="str">
        <f t="shared" si="130"/>
        <v>3 doors</v>
      </c>
      <c r="AO236" s="23" t="s">
        <v>66</v>
      </c>
      <c r="AP236" s="23" t="s">
        <v>71</v>
      </c>
      <c r="AQ236" s="23" t="s">
        <v>78</v>
      </c>
      <c r="AR236" s="34">
        <f t="shared" si="127"/>
        <v>7003</v>
      </c>
      <c r="AS236" s="23">
        <v>70</v>
      </c>
      <c r="AT236" s="23">
        <v>3</v>
      </c>
      <c r="AU236" s="23">
        <v>0</v>
      </c>
    </row>
    <row r="237" spans="1:47">
      <c r="A237" s="26" t="s">
        <v>231</v>
      </c>
      <c r="B237" s="23" t="s">
        <v>55</v>
      </c>
      <c r="C237" s="23">
        <v>2</v>
      </c>
      <c r="E237" s="23" t="s">
        <v>60</v>
      </c>
      <c r="F237" s="23" t="s">
        <v>309</v>
      </c>
      <c r="G237" s="27">
        <v>2006</v>
      </c>
      <c r="H237" s="27">
        <v>20</v>
      </c>
      <c r="I237" s="27">
        <v>25</v>
      </c>
      <c r="J237" s="27">
        <v>20</v>
      </c>
      <c r="K237" s="27">
        <v>14</v>
      </c>
      <c r="L237" s="27">
        <v>14</v>
      </c>
      <c r="P237" s="28">
        <f t="shared" si="118"/>
        <v>28</v>
      </c>
      <c r="Q237" s="28">
        <f t="shared" si="119"/>
        <v>21.532000000000004</v>
      </c>
      <c r="R237" s="28">
        <f t="shared" si="120"/>
        <v>30.864000000000004</v>
      </c>
      <c r="S237" s="27">
        <v>70</v>
      </c>
      <c r="T237" s="29">
        <f t="shared" si="129"/>
        <v>270.64000000000004</v>
      </c>
      <c r="U237" s="27">
        <v>199</v>
      </c>
      <c r="V237" s="27">
        <v>12</v>
      </c>
      <c r="W237" s="27">
        <v>90</v>
      </c>
      <c r="X237" s="29">
        <f t="shared" si="128"/>
        <v>200</v>
      </c>
      <c r="Y237" s="27" t="s">
        <v>69</v>
      </c>
      <c r="Z237" s="27" t="s">
        <v>69</v>
      </c>
      <c r="AA237" s="29">
        <f t="shared" si="121"/>
        <v>5</v>
      </c>
      <c r="AB237" s="29">
        <f t="shared" si="122"/>
        <v>8</v>
      </c>
      <c r="AC237" s="29" t="str">
        <f t="shared" si="123"/>
        <v/>
      </c>
      <c r="AD237" s="29" t="str">
        <f t="shared" si="124"/>
        <v/>
      </c>
      <c r="AE237" s="29" t="str">
        <f t="shared" si="125"/>
        <v/>
      </c>
      <c r="AF237" s="29" t="str">
        <f t="shared" si="126"/>
        <v/>
      </c>
      <c r="AG237" s="27">
        <v>13</v>
      </c>
      <c r="AH237" s="27">
        <v>0</v>
      </c>
      <c r="AI237" s="27">
        <v>0</v>
      </c>
      <c r="AJ237" s="23" t="s">
        <v>279</v>
      </c>
      <c r="AK237" s="23" t="s">
        <v>226</v>
      </c>
      <c r="AL237" s="30" t="s">
        <v>280</v>
      </c>
      <c r="AN237" s="31" t="str">
        <f t="shared" si="130"/>
        <v>2 doors</v>
      </c>
      <c r="AO237" s="23" t="s">
        <v>66</v>
      </c>
      <c r="AP237" s="23" t="s">
        <v>71</v>
      </c>
      <c r="AQ237" s="23" t="s">
        <v>78</v>
      </c>
      <c r="AR237" s="34">
        <f t="shared" si="127"/>
        <v>7004</v>
      </c>
      <c r="AS237" s="23">
        <v>70</v>
      </c>
      <c r="AT237" s="23">
        <v>4</v>
      </c>
      <c r="AU237" s="23">
        <v>0</v>
      </c>
    </row>
    <row r="238" spans="1:47">
      <c r="A238" s="26" t="s">
        <v>232</v>
      </c>
      <c r="B238" s="23" t="s">
        <v>55</v>
      </c>
      <c r="C238" s="23">
        <v>3</v>
      </c>
      <c r="E238" s="23" t="s">
        <v>60</v>
      </c>
      <c r="F238" s="23" t="s">
        <v>294</v>
      </c>
      <c r="G238" s="27">
        <v>2008</v>
      </c>
      <c r="H238" s="27">
        <v>20</v>
      </c>
      <c r="I238" s="27">
        <v>25</v>
      </c>
      <c r="J238" s="27">
        <v>20</v>
      </c>
      <c r="K238" s="27">
        <v>14</v>
      </c>
      <c r="L238" s="27">
        <v>14</v>
      </c>
      <c r="M238" s="27">
        <v>14</v>
      </c>
      <c r="P238" s="28">
        <f t="shared" si="118"/>
        <v>42</v>
      </c>
      <c r="Q238" s="28">
        <f t="shared" si="119"/>
        <v>19.948</v>
      </c>
      <c r="R238" s="28">
        <f t="shared" si="120"/>
        <v>26.649333333333335</v>
      </c>
      <c r="S238" s="27">
        <v>70</v>
      </c>
      <c r="T238" s="29">
        <f t="shared" si="129"/>
        <v>218.96</v>
      </c>
      <c r="U238" s="27">
        <v>161</v>
      </c>
      <c r="V238" s="27">
        <v>12</v>
      </c>
      <c r="W238" s="27">
        <v>83</v>
      </c>
      <c r="X238" s="29">
        <f t="shared" si="128"/>
        <v>200</v>
      </c>
      <c r="Y238" s="27" t="s">
        <v>69</v>
      </c>
      <c r="Z238" s="27" t="s">
        <v>69</v>
      </c>
      <c r="AA238" s="29">
        <f t="shared" si="121"/>
        <v>5</v>
      </c>
      <c r="AB238" s="29">
        <f t="shared" si="122"/>
        <v>8</v>
      </c>
      <c r="AC238" s="29" t="str">
        <f t="shared" si="123"/>
        <v/>
      </c>
      <c r="AD238" s="29" t="str">
        <f t="shared" si="124"/>
        <v/>
      </c>
      <c r="AE238" s="29" t="str">
        <f t="shared" si="125"/>
        <v/>
      </c>
      <c r="AF238" s="29" t="str">
        <f t="shared" si="126"/>
        <v/>
      </c>
      <c r="AG238" s="27">
        <v>13</v>
      </c>
      <c r="AH238" s="27">
        <v>0</v>
      </c>
      <c r="AI238" s="27">
        <v>0</v>
      </c>
      <c r="AJ238" s="23" t="s">
        <v>279</v>
      </c>
      <c r="AK238" s="23" t="s">
        <v>226</v>
      </c>
      <c r="AL238" s="30" t="s">
        <v>280</v>
      </c>
      <c r="AM238" s="23" t="s">
        <v>31</v>
      </c>
      <c r="AN238" s="31" t="str">
        <f t="shared" si="130"/>
        <v>3 doors</v>
      </c>
      <c r="AO238" s="23" t="s">
        <v>66</v>
      </c>
      <c r="AP238" s="23" t="s">
        <v>71</v>
      </c>
      <c r="AQ238" s="23" t="s">
        <v>78</v>
      </c>
      <c r="AR238" s="34">
        <f t="shared" si="127"/>
        <v>7005</v>
      </c>
      <c r="AS238" s="23">
        <v>70</v>
      </c>
      <c r="AT238" s="23">
        <v>5</v>
      </c>
      <c r="AU238" s="23">
        <v>0</v>
      </c>
    </row>
    <row r="239" spans="1:47">
      <c r="A239" s="26" t="s">
        <v>270</v>
      </c>
      <c r="B239" s="23" t="s">
        <v>56</v>
      </c>
      <c r="C239" s="23">
        <v>2</v>
      </c>
      <c r="E239" s="23" t="s">
        <v>60</v>
      </c>
      <c r="F239" s="23" t="s">
        <v>310</v>
      </c>
      <c r="G239" s="27">
        <v>2010</v>
      </c>
      <c r="H239" s="27">
        <v>20</v>
      </c>
      <c r="I239" s="27">
        <v>25</v>
      </c>
      <c r="J239" s="27">
        <v>20</v>
      </c>
      <c r="K239" s="27">
        <v>14</v>
      </c>
      <c r="L239" s="27">
        <v>14</v>
      </c>
      <c r="P239" s="28">
        <f t="shared" si="118"/>
        <v>28</v>
      </c>
      <c r="Q239" s="28">
        <f t="shared" si="119"/>
        <v>24.82</v>
      </c>
      <c r="R239" s="28">
        <f t="shared" si="120"/>
        <v>36.700000000000003</v>
      </c>
      <c r="S239" s="27">
        <v>90</v>
      </c>
      <c r="T239" s="29">
        <f t="shared" si="129"/>
        <v>326.40000000000003</v>
      </c>
      <c r="U239" s="27">
        <v>240</v>
      </c>
      <c r="V239" s="27">
        <v>13</v>
      </c>
      <c r="W239" s="27">
        <v>114</v>
      </c>
      <c r="X239" s="29">
        <f t="shared" si="128"/>
        <v>200</v>
      </c>
      <c r="Y239" s="27" t="s">
        <v>69</v>
      </c>
      <c r="Z239" s="27" t="s">
        <v>69</v>
      </c>
      <c r="AA239" s="29">
        <f t="shared" si="121"/>
        <v>7</v>
      </c>
      <c r="AB239" s="29">
        <f t="shared" si="122"/>
        <v>8</v>
      </c>
      <c r="AC239" s="29" t="str">
        <f t="shared" si="123"/>
        <v/>
      </c>
      <c r="AD239" s="29" t="str">
        <f t="shared" si="124"/>
        <v/>
      </c>
      <c r="AE239" s="29" t="str">
        <f t="shared" si="125"/>
        <v/>
      </c>
      <c r="AF239" s="29" t="str">
        <f t="shared" si="126"/>
        <v/>
      </c>
      <c r="AG239" s="27">
        <v>15</v>
      </c>
      <c r="AH239" s="27">
        <v>0</v>
      </c>
      <c r="AI239" s="27">
        <v>0</v>
      </c>
      <c r="AJ239" s="23" t="s">
        <v>279</v>
      </c>
      <c r="AK239" s="23" t="s">
        <v>285</v>
      </c>
      <c r="AM239" s="23" t="s">
        <v>56</v>
      </c>
      <c r="AN239" s="31" t="str">
        <f t="shared" si="130"/>
        <v>2 doors</v>
      </c>
      <c r="AO239" s="23" t="s">
        <v>271</v>
      </c>
      <c r="AP239" s="23" t="s">
        <v>72</v>
      </c>
      <c r="AQ239" s="23" t="s">
        <v>78</v>
      </c>
      <c r="AR239" s="34">
        <f t="shared" si="127"/>
        <v>7100</v>
      </c>
      <c r="AS239" s="23">
        <v>71</v>
      </c>
      <c r="AT239" s="23">
        <v>0</v>
      </c>
      <c r="AU239" s="23">
        <v>0</v>
      </c>
    </row>
    <row r="240" spans="1:47">
      <c r="A240" s="26" t="s">
        <v>295</v>
      </c>
      <c r="C240" s="23">
        <v>4</v>
      </c>
      <c r="E240" s="23" t="s">
        <v>60</v>
      </c>
      <c r="F240" s="23" t="s">
        <v>296</v>
      </c>
      <c r="G240" s="27">
        <v>2002</v>
      </c>
      <c r="H240" s="27">
        <v>20</v>
      </c>
      <c r="I240" s="27">
        <v>25</v>
      </c>
      <c r="J240" s="27">
        <v>20</v>
      </c>
      <c r="K240" s="27">
        <v>14</v>
      </c>
      <c r="L240" s="27">
        <v>14</v>
      </c>
      <c r="M240" s="27">
        <v>14</v>
      </c>
      <c r="N240" s="27">
        <v>14</v>
      </c>
      <c r="P240" s="28">
        <f t="shared" si="118"/>
        <v>56</v>
      </c>
      <c r="Q240" s="28">
        <f t="shared" si="119"/>
        <v>28.82</v>
      </c>
      <c r="R240" s="28">
        <f t="shared" si="120"/>
        <v>39.306666666666672</v>
      </c>
      <c r="S240" s="27">
        <v>70</v>
      </c>
      <c r="T240" s="29">
        <f t="shared" si="129"/>
        <v>326.40000000000003</v>
      </c>
      <c r="U240" s="27">
        <v>240</v>
      </c>
      <c r="V240" s="27">
        <v>17</v>
      </c>
      <c r="W240" s="27">
        <v>145</v>
      </c>
      <c r="X240" s="29">
        <f t="shared" si="128"/>
        <v>200</v>
      </c>
      <c r="Y240" s="27" t="s">
        <v>69</v>
      </c>
      <c r="Z240" s="27" t="s">
        <v>69</v>
      </c>
      <c r="AA240" s="29">
        <f t="shared" si="121"/>
        <v>2</v>
      </c>
      <c r="AB240" s="29">
        <f t="shared" si="122"/>
        <v>8</v>
      </c>
      <c r="AC240" s="29">
        <f t="shared" si="123"/>
        <v>1</v>
      </c>
      <c r="AD240" s="29">
        <f t="shared" si="124"/>
        <v>8</v>
      </c>
      <c r="AE240" s="29" t="str">
        <f t="shared" si="125"/>
        <v/>
      </c>
      <c r="AF240" s="29" t="str">
        <f t="shared" si="126"/>
        <v/>
      </c>
      <c r="AG240" s="27">
        <v>10</v>
      </c>
      <c r="AH240" s="27">
        <v>9</v>
      </c>
      <c r="AI240" s="27">
        <v>0</v>
      </c>
      <c r="AJ240" s="23" t="s">
        <v>301</v>
      </c>
      <c r="AK240" s="23" t="s">
        <v>300</v>
      </c>
      <c r="AL240" s="30">
        <v>18</v>
      </c>
      <c r="AN240" s="31" t="str">
        <f t="shared" si="130"/>
        <v>4 doors</v>
      </c>
      <c r="AO240" s="23" t="s">
        <v>85</v>
      </c>
      <c r="AP240" s="23" t="s">
        <v>71</v>
      </c>
      <c r="AQ240" s="23" t="s">
        <v>78</v>
      </c>
      <c r="AR240" s="34">
        <f t="shared" si="127"/>
        <v>8000</v>
      </c>
      <c r="AS240" s="23">
        <v>80</v>
      </c>
      <c r="AT240" s="23">
        <v>0</v>
      </c>
      <c r="AU240" s="23">
        <v>0</v>
      </c>
    </row>
    <row r="241" spans="1:47">
      <c r="A241" s="26" t="s">
        <v>295</v>
      </c>
      <c r="C241" s="23">
        <v>3</v>
      </c>
      <c r="E241" s="23" t="s">
        <v>60</v>
      </c>
      <c r="F241" s="23" t="s">
        <v>297</v>
      </c>
      <c r="G241" s="27">
        <v>2002</v>
      </c>
      <c r="H241" s="27">
        <v>20</v>
      </c>
      <c r="I241" s="27">
        <v>25</v>
      </c>
      <c r="J241" s="27">
        <v>20</v>
      </c>
      <c r="K241" s="27">
        <v>14</v>
      </c>
      <c r="L241" s="27">
        <v>14</v>
      </c>
      <c r="M241" s="27">
        <v>14</v>
      </c>
      <c r="P241" s="28">
        <f t="shared" si="118"/>
        <v>42</v>
      </c>
      <c r="Q241" s="28">
        <f t="shared" si="119"/>
        <v>27.82</v>
      </c>
      <c r="R241" s="28">
        <f t="shared" si="120"/>
        <v>38.306666666666672</v>
      </c>
      <c r="S241" s="27">
        <v>70</v>
      </c>
      <c r="T241" s="29">
        <f t="shared" si="129"/>
        <v>326.40000000000003</v>
      </c>
      <c r="U241" s="27">
        <v>240</v>
      </c>
      <c r="V241" s="27">
        <v>17</v>
      </c>
      <c r="W241" s="27">
        <v>145</v>
      </c>
      <c r="X241" s="29">
        <f t="shared" si="128"/>
        <v>200</v>
      </c>
      <c r="Y241" s="27" t="s">
        <v>69</v>
      </c>
      <c r="Z241" s="27" t="s">
        <v>69</v>
      </c>
      <c r="AA241" s="29">
        <f t="shared" si="121"/>
        <v>2</v>
      </c>
      <c r="AB241" s="29">
        <f t="shared" si="122"/>
        <v>8</v>
      </c>
      <c r="AC241" s="29">
        <f t="shared" si="123"/>
        <v>1</v>
      </c>
      <c r="AD241" s="29">
        <f t="shared" si="124"/>
        <v>8</v>
      </c>
      <c r="AE241" s="29" t="str">
        <f t="shared" si="125"/>
        <v/>
      </c>
      <c r="AF241" s="29" t="str">
        <f t="shared" si="126"/>
        <v/>
      </c>
      <c r="AG241" s="27">
        <v>10</v>
      </c>
      <c r="AH241" s="27">
        <v>9</v>
      </c>
      <c r="AI241" s="27">
        <v>0</v>
      </c>
      <c r="AJ241" s="23" t="s">
        <v>301</v>
      </c>
      <c r="AK241" s="23" t="s">
        <v>300</v>
      </c>
      <c r="AL241" s="30">
        <v>18</v>
      </c>
      <c r="AN241" s="31" t="str">
        <f t="shared" si="130"/>
        <v>3 doors</v>
      </c>
      <c r="AO241" s="23" t="s">
        <v>85</v>
      </c>
      <c r="AP241" s="23" t="s">
        <v>71</v>
      </c>
      <c r="AQ241" s="23" t="s">
        <v>78</v>
      </c>
      <c r="AR241" s="34">
        <f t="shared" si="127"/>
        <v>8001</v>
      </c>
      <c r="AS241" s="23">
        <v>80</v>
      </c>
      <c r="AT241" s="23">
        <v>1</v>
      </c>
      <c r="AU241" s="23">
        <v>0</v>
      </c>
    </row>
    <row r="242" spans="1:47">
      <c r="A242" s="26" t="s">
        <v>295</v>
      </c>
      <c r="C242" s="23">
        <v>3</v>
      </c>
      <c r="E242" s="23" t="s">
        <v>60</v>
      </c>
      <c r="F242" s="23" t="s">
        <v>297</v>
      </c>
      <c r="G242" s="27">
        <v>2002</v>
      </c>
      <c r="H242" s="27">
        <v>20</v>
      </c>
      <c r="I242" s="27">
        <v>25</v>
      </c>
      <c r="J242" s="27">
        <v>20</v>
      </c>
      <c r="K242" s="27">
        <v>14</v>
      </c>
      <c r="L242" s="27">
        <v>14</v>
      </c>
      <c r="M242" s="27">
        <v>14</v>
      </c>
      <c r="P242" s="28">
        <f t="shared" si="118"/>
        <v>42</v>
      </c>
      <c r="Q242" s="28">
        <f t="shared" si="119"/>
        <v>27.82</v>
      </c>
      <c r="R242" s="28">
        <f t="shared" si="120"/>
        <v>38.306666666666672</v>
      </c>
      <c r="S242" s="27">
        <v>70</v>
      </c>
      <c r="T242" s="29">
        <f t="shared" si="129"/>
        <v>326.40000000000003</v>
      </c>
      <c r="U242" s="27">
        <v>240</v>
      </c>
      <c r="V242" s="27">
        <v>17</v>
      </c>
      <c r="W242" s="27">
        <v>145</v>
      </c>
      <c r="X242" s="29">
        <f t="shared" si="128"/>
        <v>200</v>
      </c>
      <c r="Y242" s="27" t="s">
        <v>298</v>
      </c>
      <c r="Z242" s="27" t="s">
        <v>298</v>
      </c>
      <c r="AA242" s="29">
        <f t="shared" si="121"/>
        <v>2</v>
      </c>
      <c r="AB242" s="29">
        <f t="shared" si="122"/>
        <v>8</v>
      </c>
      <c r="AC242" s="29">
        <f t="shared" si="123"/>
        <v>1</v>
      </c>
      <c r="AD242" s="29">
        <f t="shared" si="124"/>
        <v>8</v>
      </c>
      <c r="AE242" s="29" t="str">
        <f t="shared" si="125"/>
        <v/>
      </c>
      <c r="AF242" s="29" t="str">
        <f t="shared" si="126"/>
        <v/>
      </c>
      <c r="AG242" s="27">
        <v>10</v>
      </c>
      <c r="AH242" s="27">
        <v>9</v>
      </c>
      <c r="AI242" s="27">
        <v>0</v>
      </c>
      <c r="AJ242" s="23" t="s">
        <v>301</v>
      </c>
      <c r="AK242" s="23" t="s">
        <v>300</v>
      </c>
      <c r="AL242" s="30">
        <v>18</v>
      </c>
      <c r="AN242" s="31" t="str">
        <f t="shared" si="130"/>
        <v>3 doors</v>
      </c>
      <c r="AO242" s="23" t="s">
        <v>85</v>
      </c>
      <c r="AP242" s="23" t="s">
        <v>71</v>
      </c>
      <c r="AQ242" s="35" t="s">
        <v>299</v>
      </c>
      <c r="AR242" s="34">
        <f t="shared" si="127"/>
        <v>8001.01</v>
      </c>
      <c r="AS242" s="23">
        <v>80</v>
      </c>
      <c r="AT242" s="23">
        <v>1</v>
      </c>
      <c r="AU242" s="23">
        <v>1</v>
      </c>
    </row>
    <row r="243" spans="1:47">
      <c r="A243" s="26" t="s">
        <v>272</v>
      </c>
      <c r="B243" s="23" t="s">
        <v>55</v>
      </c>
      <c r="C243" s="23">
        <v>2</v>
      </c>
      <c r="E243" s="23" t="s">
        <v>60</v>
      </c>
      <c r="F243" s="23" t="s">
        <v>302</v>
      </c>
      <c r="G243" s="27">
        <v>1991</v>
      </c>
      <c r="H243" s="27">
        <v>20</v>
      </c>
      <c r="I243" s="27">
        <v>25</v>
      </c>
      <c r="J243" s="27">
        <v>20</v>
      </c>
      <c r="K243" s="27">
        <v>14</v>
      </c>
      <c r="L243" s="27">
        <v>14</v>
      </c>
      <c r="P243" s="28">
        <f t="shared" si="118"/>
        <v>28</v>
      </c>
      <c r="Q243" s="28">
        <f t="shared" si="119"/>
        <v>21.94</v>
      </c>
      <c r="R243" s="28">
        <f t="shared" si="120"/>
        <v>31.593333333333334</v>
      </c>
      <c r="S243" s="27">
        <v>70</v>
      </c>
      <c r="T243" s="29">
        <f t="shared" si="129"/>
        <v>278.8</v>
      </c>
      <c r="U243" s="27">
        <v>205</v>
      </c>
      <c r="V243" s="27">
        <v>12</v>
      </c>
      <c r="W243" s="27">
        <v>77</v>
      </c>
      <c r="X243" s="29">
        <f t="shared" si="128"/>
        <v>200</v>
      </c>
      <c r="Y243" s="27" t="s">
        <v>69</v>
      </c>
      <c r="Z243" s="27" t="s">
        <v>69</v>
      </c>
      <c r="AA243" s="29">
        <f t="shared" si="121"/>
        <v>5</v>
      </c>
      <c r="AB243" s="29">
        <f t="shared" si="122"/>
        <v>8</v>
      </c>
      <c r="AC243" s="29" t="str">
        <f t="shared" si="123"/>
        <v/>
      </c>
      <c r="AD243" s="29" t="str">
        <f t="shared" si="124"/>
        <v/>
      </c>
      <c r="AE243" s="29" t="str">
        <f t="shared" si="125"/>
        <v/>
      </c>
      <c r="AF243" s="29" t="str">
        <f t="shared" si="126"/>
        <v/>
      </c>
      <c r="AG243" s="27">
        <v>13</v>
      </c>
      <c r="AH243" s="27">
        <v>0</v>
      </c>
      <c r="AI243" s="27">
        <v>0</v>
      </c>
      <c r="AJ243" s="23" t="s">
        <v>184</v>
      </c>
      <c r="AK243" s="23" t="s">
        <v>277</v>
      </c>
      <c r="AL243" s="30" t="s">
        <v>273</v>
      </c>
      <c r="AN243" s="31" t="str">
        <f t="shared" si="130"/>
        <v>2 doors</v>
      </c>
      <c r="AO243" s="23" t="s">
        <v>66</v>
      </c>
      <c r="AP243" s="23" t="s">
        <v>71</v>
      </c>
      <c r="AQ243" s="23" t="s">
        <v>78</v>
      </c>
      <c r="AR243" s="34">
        <f t="shared" si="127"/>
        <v>9000</v>
      </c>
      <c r="AS243" s="23">
        <v>90</v>
      </c>
      <c r="AT243" s="23">
        <v>0</v>
      </c>
      <c r="AU243" s="23">
        <v>0</v>
      </c>
    </row>
    <row r="244" spans="1:47">
      <c r="A244" s="26" t="s">
        <v>272</v>
      </c>
      <c r="B244" s="23" t="s">
        <v>55</v>
      </c>
      <c r="C244" s="23">
        <v>2</v>
      </c>
      <c r="E244" s="23" t="s">
        <v>60</v>
      </c>
      <c r="F244" s="23" t="s">
        <v>302</v>
      </c>
      <c r="G244" s="27">
        <v>1991</v>
      </c>
      <c r="H244" s="27">
        <v>20</v>
      </c>
      <c r="I244" s="27">
        <v>25</v>
      </c>
      <c r="J244" s="27">
        <v>20</v>
      </c>
      <c r="K244" s="27">
        <v>14</v>
      </c>
      <c r="L244" s="27">
        <v>14</v>
      </c>
      <c r="P244" s="28">
        <f t="shared" si="118"/>
        <v>28</v>
      </c>
      <c r="Q244" s="28">
        <f t="shared" si="119"/>
        <v>21.94</v>
      </c>
      <c r="R244" s="28">
        <f t="shared" si="120"/>
        <v>31.593333333333334</v>
      </c>
      <c r="S244" s="27">
        <v>70</v>
      </c>
      <c r="T244" s="29">
        <f t="shared" si="129"/>
        <v>278.8</v>
      </c>
      <c r="U244" s="27">
        <v>205</v>
      </c>
      <c r="V244" s="27">
        <v>12</v>
      </c>
      <c r="W244" s="27">
        <v>77</v>
      </c>
      <c r="X244" s="29">
        <f t="shared" si="128"/>
        <v>200</v>
      </c>
      <c r="Y244" s="27" t="s">
        <v>304</v>
      </c>
      <c r="Z244" s="27" t="s">
        <v>356</v>
      </c>
      <c r="AA244" s="29">
        <f t="shared" si="121"/>
        <v>5</v>
      </c>
      <c r="AB244" s="29">
        <f t="shared" si="122"/>
        <v>8</v>
      </c>
      <c r="AC244" s="29" t="str">
        <f t="shared" si="123"/>
        <v/>
      </c>
      <c r="AD244" s="29" t="str">
        <f t="shared" si="124"/>
        <v/>
      </c>
      <c r="AE244" s="29" t="str">
        <f t="shared" si="125"/>
        <v/>
      </c>
      <c r="AF244" s="29" t="str">
        <f t="shared" si="126"/>
        <v/>
      </c>
      <c r="AG244" s="27">
        <v>13</v>
      </c>
      <c r="AH244" s="27">
        <v>0</v>
      </c>
      <c r="AI244" s="27">
        <v>0</v>
      </c>
      <c r="AJ244" s="23" t="s">
        <v>184</v>
      </c>
      <c r="AK244" s="23" t="s">
        <v>277</v>
      </c>
      <c r="AL244" s="30" t="s">
        <v>273</v>
      </c>
      <c r="AN244" s="31" t="str">
        <f t="shared" si="130"/>
        <v>2 doors</v>
      </c>
      <c r="AO244" s="23" t="s">
        <v>66</v>
      </c>
      <c r="AP244" s="23" t="s">
        <v>71</v>
      </c>
      <c r="AQ244" s="23" t="s">
        <v>275</v>
      </c>
      <c r="AR244" s="34">
        <f t="shared" si="127"/>
        <v>9000.01</v>
      </c>
      <c r="AS244" s="23">
        <v>90</v>
      </c>
      <c r="AT244" s="23">
        <v>0</v>
      </c>
      <c r="AU244" s="23">
        <v>1</v>
      </c>
    </row>
    <row r="245" spans="1:47">
      <c r="A245" s="26" t="s">
        <v>272</v>
      </c>
      <c r="B245" s="23" t="s">
        <v>55</v>
      </c>
      <c r="C245" s="23">
        <v>2</v>
      </c>
      <c r="E245" s="23" t="s">
        <v>60</v>
      </c>
      <c r="F245" s="23" t="s">
        <v>302</v>
      </c>
      <c r="G245" s="27">
        <v>1991</v>
      </c>
      <c r="H245" s="27">
        <v>20</v>
      </c>
      <c r="I245" s="27">
        <v>25</v>
      </c>
      <c r="J245" s="27">
        <v>20</v>
      </c>
      <c r="K245" s="27">
        <v>14</v>
      </c>
      <c r="L245" s="27">
        <v>14</v>
      </c>
      <c r="P245" s="28">
        <f t="shared" si="118"/>
        <v>28</v>
      </c>
      <c r="Q245" s="28">
        <f t="shared" si="119"/>
        <v>21.94</v>
      </c>
      <c r="R245" s="28">
        <f t="shared" si="120"/>
        <v>31.593333333333334</v>
      </c>
      <c r="S245" s="27">
        <v>70</v>
      </c>
      <c r="T245" s="29">
        <f t="shared" si="129"/>
        <v>278.8</v>
      </c>
      <c r="U245" s="27">
        <v>205</v>
      </c>
      <c r="V245" s="27">
        <v>12</v>
      </c>
      <c r="W245" s="27">
        <v>77</v>
      </c>
      <c r="X245" s="29">
        <f t="shared" si="128"/>
        <v>200</v>
      </c>
      <c r="Y245" s="27" t="s">
        <v>305</v>
      </c>
      <c r="Z245" s="27" t="s">
        <v>356</v>
      </c>
      <c r="AA245" s="29">
        <f t="shared" si="121"/>
        <v>5</v>
      </c>
      <c r="AB245" s="29">
        <f t="shared" si="122"/>
        <v>8</v>
      </c>
      <c r="AC245" s="29" t="str">
        <f t="shared" si="123"/>
        <v/>
      </c>
      <c r="AD245" s="29" t="str">
        <f t="shared" si="124"/>
        <v/>
      </c>
      <c r="AE245" s="29" t="str">
        <f t="shared" si="125"/>
        <v/>
      </c>
      <c r="AF245" s="29" t="str">
        <f t="shared" si="126"/>
        <v/>
      </c>
      <c r="AG245" s="27">
        <v>13</v>
      </c>
      <c r="AH245" s="27">
        <v>0</v>
      </c>
      <c r="AI245" s="27">
        <v>0</v>
      </c>
      <c r="AJ245" s="23" t="s">
        <v>184</v>
      </c>
      <c r="AK245" s="23" t="s">
        <v>277</v>
      </c>
      <c r="AL245" s="30" t="s">
        <v>273</v>
      </c>
      <c r="AN245" s="31" t="str">
        <f t="shared" si="130"/>
        <v>2 doors</v>
      </c>
      <c r="AO245" s="23" t="s">
        <v>66</v>
      </c>
      <c r="AP245" s="23" t="s">
        <v>71</v>
      </c>
      <c r="AQ245" s="23" t="s">
        <v>275</v>
      </c>
      <c r="AR245" s="34">
        <f t="shared" si="127"/>
        <v>9000.02</v>
      </c>
      <c r="AS245" s="23">
        <v>90</v>
      </c>
      <c r="AT245" s="23">
        <v>0</v>
      </c>
      <c r="AU245" s="23">
        <v>2</v>
      </c>
    </row>
    <row r="246" spans="1:47">
      <c r="A246" s="26" t="s">
        <v>272</v>
      </c>
      <c r="B246" s="23" t="s">
        <v>55</v>
      </c>
      <c r="C246" s="23">
        <v>2</v>
      </c>
      <c r="E246" s="23" t="s">
        <v>60</v>
      </c>
      <c r="F246" s="23" t="s">
        <v>302</v>
      </c>
      <c r="G246" s="27">
        <v>1991</v>
      </c>
      <c r="H246" s="27">
        <v>20</v>
      </c>
      <c r="I246" s="27">
        <v>25</v>
      </c>
      <c r="J246" s="27">
        <v>20</v>
      </c>
      <c r="K246" s="27">
        <v>14</v>
      </c>
      <c r="L246" s="27">
        <v>14</v>
      </c>
      <c r="P246" s="28">
        <f t="shared" si="118"/>
        <v>28</v>
      </c>
      <c r="Q246" s="28">
        <f t="shared" si="119"/>
        <v>21.94</v>
      </c>
      <c r="R246" s="28">
        <f t="shared" si="120"/>
        <v>31.593333333333334</v>
      </c>
      <c r="S246" s="27">
        <v>70</v>
      </c>
      <c r="T246" s="29">
        <f t="shared" si="129"/>
        <v>278.8</v>
      </c>
      <c r="U246" s="27">
        <v>205</v>
      </c>
      <c r="V246" s="27">
        <v>12</v>
      </c>
      <c r="W246" s="27">
        <v>77</v>
      </c>
      <c r="X246" s="29">
        <f t="shared" si="128"/>
        <v>200</v>
      </c>
      <c r="Y246" s="27" t="s">
        <v>306</v>
      </c>
      <c r="Z246" s="27" t="s">
        <v>306</v>
      </c>
      <c r="AA246" s="29">
        <f t="shared" si="121"/>
        <v>5</v>
      </c>
      <c r="AB246" s="29">
        <f t="shared" si="122"/>
        <v>8</v>
      </c>
      <c r="AC246" s="29" t="str">
        <f t="shared" si="123"/>
        <v/>
      </c>
      <c r="AD246" s="29" t="str">
        <f t="shared" si="124"/>
        <v/>
      </c>
      <c r="AE246" s="29" t="str">
        <f t="shared" si="125"/>
        <v/>
      </c>
      <c r="AF246" s="29" t="str">
        <f t="shared" si="126"/>
        <v/>
      </c>
      <c r="AG246" s="27">
        <v>13</v>
      </c>
      <c r="AH246" s="27">
        <v>0</v>
      </c>
      <c r="AI246" s="27">
        <v>0</v>
      </c>
      <c r="AJ246" s="23" t="s">
        <v>184</v>
      </c>
      <c r="AK246" s="23" t="s">
        <v>277</v>
      </c>
      <c r="AL246" s="30" t="s">
        <v>273</v>
      </c>
      <c r="AN246" s="31" t="str">
        <f t="shared" si="130"/>
        <v>2 doors</v>
      </c>
      <c r="AO246" s="23" t="s">
        <v>66</v>
      </c>
      <c r="AP246" s="23" t="s">
        <v>71</v>
      </c>
      <c r="AQ246" s="23" t="s">
        <v>275</v>
      </c>
      <c r="AR246" s="34">
        <f t="shared" si="127"/>
        <v>9000.0300000000007</v>
      </c>
      <c r="AS246" s="23">
        <v>90</v>
      </c>
      <c r="AT246" s="23">
        <v>0</v>
      </c>
      <c r="AU246" s="23">
        <v>3</v>
      </c>
    </row>
    <row r="247" spans="1:47">
      <c r="A247" s="26" t="s">
        <v>272</v>
      </c>
      <c r="B247" s="23" t="s">
        <v>55</v>
      </c>
      <c r="C247" s="23">
        <v>2</v>
      </c>
      <c r="E247" s="23" t="s">
        <v>60</v>
      </c>
      <c r="F247" s="23" t="s">
        <v>302</v>
      </c>
      <c r="G247" s="27">
        <v>1991</v>
      </c>
      <c r="H247" s="27">
        <v>20</v>
      </c>
      <c r="I247" s="27">
        <v>25</v>
      </c>
      <c r="J247" s="27">
        <v>20</v>
      </c>
      <c r="K247" s="27">
        <v>14</v>
      </c>
      <c r="L247" s="27">
        <v>14</v>
      </c>
      <c r="P247" s="28">
        <f t="shared" si="118"/>
        <v>28</v>
      </c>
      <c r="Q247" s="28">
        <f t="shared" si="119"/>
        <v>21.94</v>
      </c>
      <c r="R247" s="28">
        <f t="shared" si="120"/>
        <v>31.593333333333334</v>
      </c>
      <c r="S247" s="27">
        <v>70</v>
      </c>
      <c r="T247" s="29">
        <f t="shared" si="129"/>
        <v>278.8</v>
      </c>
      <c r="U247" s="27">
        <v>205</v>
      </c>
      <c r="V247" s="27">
        <v>12</v>
      </c>
      <c r="W247" s="27">
        <v>77</v>
      </c>
      <c r="X247" s="29">
        <f t="shared" si="128"/>
        <v>200</v>
      </c>
      <c r="Y247" s="27" t="s">
        <v>307</v>
      </c>
      <c r="Z247" s="27" t="s">
        <v>312</v>
      </c>
      <c r="AA247" s="29">
        <f t="shared" si="121"/>
        <v>5</v>
      </c>
      <c r="AB247" s="29">
        <f t="shared" si="122"/>
        <v>8</v>
      </c>
      <c r="AC247" s="29" t="str">
        <f t="shared" si="123"/>
        <v/>
      </c>
      <c r="AD247" s="29" t="str">
        <f t="shared" si="124"/>
        <v/>
      </c>
      <c r="AE247" s="29" t="str">
        <f t="shared" si="125"/>
        <v/>
      </c>
      <c r="AF247" s="29" t="str">
        <f t="shared" si="126"/>
        <v/>
      </c>
      <c r="AG247" s="27">
        <v>13</v>
      </c>
      <c r="AH247" s="27">
        <v>0</v>
      </c>
      <c r="AI247" s="27">
        <v>0</v>
      </c>
      <c r="AJ247" s="23" t="s">
        <v>184</v>
      </c>
      <c r="AK247" s="23" t="s">
        <v>277</v>
      </c>
      <c r="AL247" s="30" t="s">
        <v>273</v>
      </c>
      <c r="AN247" s="31" t="str">
        <f t="shared" si="130"/>
        <v>2 doors</v>
      </c>
      <c r="AO247" s="23" t="s">
        <v>66</v>
      </c>
      <c r="AP247" s="23" t="s">
        <v>71</v>
      </c>
      <c r="AQ247" s="23" t="s">
        <v>275</v>
      </c>
      <c r="AR247" s="34">
        <f t="shared" si="127"/>
        <v>9000.0400000000009</v>
      </c>
      <c r="AS247" s="23">
        <v>90</v>
      </c>
      <c r="AT247" s="23">
        <v>0</v>
      </c>
      <c r="AU247" s="23">
        <v>4</v>
      </c>
    </row>
    <row r="248" spans="1:47">
      <c r="A248" s="26" t="s">
        <v>272</v>
      </c>
      <c r="B248" s="23" t="s">
        <v>55</v>
      </c>
      <c r="C248" s="23">
        <v>2</v>
      </c>
      <c r="E248" s="23" t="s">
        <v>60</v>
      </c>
      <c r="F248" s="23" t="s">
        <v>302</v>
      </c>
      <c r="G248" s="27">
        <v>1991</v>
      </c>
      <c r="H248" s="27">
        <v>20</v>
      </c>
      <c r="I248" s="27">
        <v>25</v>
      </c>
      <c r="J248" s="27">
        <v>20</v>
      </c>
      <c r="K248" s="27">
        <v>14</v>
      </c>
      <c r="L248" s="27">
        <v>14</v>
      </c>
      <c r="P248" s="28">
        <f t="shared" si="118"/>
        <v>28</v>
      </c>
      <c r="Q248" s="28">
        <f t="shared" si="119"/>
        <v>21.94</v>
      </c>
      <c r="R248" s="28">
        <f t="shared" si="120"/>
        <v>31.593333333333334</v>
      </c>
      <c r="S248" s="27">
        <v>70</v>
      </c>
      <c r="T248" s="29">
        <f t="shared" si="129"/>
        <v>278.8</v>
      </c>
      <c r="U248" s="27">
        <v>205</v>
      </c>
      <c r="V248" s="27">
        <v>12</v>
      </c>
      <c r="W248" s="27">
        <v>77</v>
      </c>
      <c r="X248" s="29">
        <f t="shared" si="128"/>
        <v>200</v>
      </c>
      <c r="Y248" s="27" t="s">
        <v>308</v>
      </c>
      <c r="Z248" s="27" t="s">
        <v>308</v>
      </c>
      <c r="AA248" s="29">
        <f t="shared" si="121"/>
        <v>5</v>
      </c>
      <c r="AB248" s="29">
        <f t="shared" si="122"/>
        <v>8</v>
      </c>
      <c r="AC248" s="29" t="str">
        <f t="shared" si="123"/>
        <v/>
      </c>
      <c r="AD248" s="29" t="str">
        <f t="shared" si="124"/>
        <v/>
      </c>
      <c r="AE248" s="29" t="str">
        <f t="shared" si="125"/>
        <v/>
      </c>
      <c r="AF248" s="29" t="str">
        <f t="shared" si="126"/>
        <v/>
      </c>
      <c r="AG248" s="27">
        <v>13</v>
      </c>
      <c r="AH248" s="27">
        <v>0</v>
      </c>
      <c r="AI248" s="27">
        <v>0</v>
      </c>
      <c r="AJ248" s="23" t="s">
        <v>184</v>
      </c>
      <c r="AK248" s="23" t="s">
        <v>277</v>
      </c>
      <c r="AL248" s="30" t="s">
        <v>273</v>
      </c>
      <c r="AN248" s="31" t="str">
        <f t="shared" si="130"/>
        <v>2 doors</v>
      </c>
      <c r="AO248" s="23" t="s">
        <v>66</v>
      </c>
      <c r="AP248" s="23" t="s">
        <v>71</v>
      </c>
      <c r="AQ248" s="23" t="s">
        <v>275</v>
      </c>
      <c r="AR248" s="34">
        <f t="shared" si="127"/>
        <v>9000.0499999999993</v>
      </c>
      <c r="AS248" s="23">
        <v>90</v>
      </c>
      <c r="AT248" s="23">
        <v>0</v>
      </c>
      <c r="AU248" s="23">
        <v>5</v>
      </c>
    </row>
    <row r="249" spans="1:47">
      <c r="A249" s="26" t="s">
        <v>276</v>
      </c>
      <c r="B249" s="23" t="s">
        <v>55</v>
      </c>
      <c r="C249" s="23">
        <v>2</v>
      </c>
      <c r="E249" s="23" t="s">
        <v>274</v>
      </c>
      <c r="F249" s="23" t="s">
        <v>303</v>
      </c>
      <c r="G249" s="27">
        <v>1993</v>
      </c>
      <c r="H249" s="27">
        <v>20</v>
      </c>
      <c r="I249" s="27">
        <v>25</v>
      </c>
      <c r="J249" s="27">
        <v>20</v>
      </c>
      <c r="K249" s="27">
        <v>14</v>
      </c>
      <c r="L249" s="27">
        <v>14</v>
      </c>
      <c r="P249" s="28">
        <f t="shared" si="118"/>
        <v>28</v>
      </c>
      <c r="Q249" s="28">
        <f t="shared" si="119"/>
        <v>28.070000000000004</v>
      </c>
      <c r="R249" s="28">
        <f t="shared" si="120"/>
        <v>13.750000000000002</v>
      </c>
      <c r="S249" s="27">
        <v>70</v>
      </c>
      <c r="T249" s="29">
        <f t="shared" si="129"/>
        <v>217.60000000000002</v>
      </c>
      <c r="U249" s="27">
        <v>160</v>
      </c>
      <c r="V249" s="27">
        <v>13</v>
      </c>
      <c r="W249" s="27">
        <v>66</v>
      </c>
      <c r="X249" s="29">
        <f t="shared" si="128"/>
        <v>200</v>
      </c>
      <c r="Y249" s="27" t="s">
        <v>69</v>
      </c>
      <c r="Z249" s="27" t="s">
        <v>69</v>
      </c>
      <c r="AA249" s="29">
        <f t="shared" si="121"/>
        <v>5</v>
      </c>
      <c r="AB249" s="29">
        <f t="shared" si="122"/>
        <v>8</v>
      </c>
      <c r="AC249" s="29" t="str">
        <f t="shared" si="123"/>
        <v/>
      </c>
      <c r="AD249" s="29" t="str">
        <f t="shared" si="124"/>
        <v/>
      </c>
      <c r="AE249" s="29" t="str">
        <f t="shared" si="125"/>
        <v/>
      </c>
      <c r="AF249" s="29" t="str">
        <f t="shared" si="126"/>
        <v/>
      </c>
      <c r="AG249" s="27">
        <v>13</v>
      </c>
      <c r="AH249" s="27">
        <v>0</v>
      </c>
      <c r="AI249" s="27">
        <v>0</v>
      </c>
      <c r="AJ249" s="23" t="s">
        <v>184</v>
      </c>
      <c r="AK249" s="23" t="s">
        <v>277</v>
      </c>
      <c r="AL249" s="30" t="s">
        <v>278</v>
      </c>
      <c r="AN249" s="31" t="str">
        <f t="shared" si="130"/>
        <v>2 doors</v>
      </c>
      <c r="AO249" s="23" t="s">
        <v>66</v>
      </c>
      <c r="AP249" s="23" t="s">
        <v>71</v>
      </c>
      <c r="AQ249" s="23" t="s">
        <v>78</v>
      </c>
      <c r="AR249" s="34">
        <f t="shared" si="127"/>
        <v>9001</v>
      </c>
      <c r="AS249" s="23">
        <v>90</v>
      </c>
      <c r="AT249" s="23">
        <v>1</v>
      </c>
      <c r="AU249" s="23">
        <v>0</v>
      </c>
    </row>
    <row r="250" spans="1:47">
      <c r="A250" s="26" t="s">
        <v>276</v>
      </c>
      <c r="B250" s="23" t="s">
        <v>55</v>
      </c>
      <c r="C250" s="23">
        <v>2</v>
      </c>
      <c r="E250" s="23" t="s">
        <v>274</v>
      </c>
      <c r="F250" s="23" t="s">
        <v>303</v>
      </c>
      <c r="G250" s="27">
        <v>1993</v>
      </c>
      <c r="H250" s="27">
        <v>20</v>
      </c>
      <c r="I250" s="27">
        <v>25</v>
      </c>
      <c r="J250" s="27">
        <v>20</v>
      </c>
      <c r="K250" s="27">
        <v>14</v>
      </c>
      <c r="L250" s="27">
        <v>14</v>
      </c>
      <c r="P250" s="28">
        <f t="shared" si="118"/>
        <v>28</v>
      </c>
      <c r="Q250" s="28">
        <f t="shared" si="119"/>
        <v>28.070000000000004</v>
      </c>
      <c r="R250" s="28">
        <f t="shared" si="120"/>
        <v>13.73</v>
      </c>
      <c r="S250" s="27">
        <v>70</v>
      </c>
      <c r="T250" s="29">
        <f t="shared" si="129"/>
        <v>217.60000000000002</v>
      </c>
      <c r="U250" s="27">
        <v>160</v>
      </c>
      <c r="V250" s="27">
        <v>13</v>
      </c>
      <c r="W250" s="27">
        <v>60</v>
      </c>
      <c r="X250" s="29">
        <f t="shared" si="128"/>
        <v>200</v>
      </c>
      <c r="Y250" s="27" t="s">
        <v>304</v>
      </c>
      <c r="Z250" s="27" t="s">
        <v>356</v>
      </c>
      <c r="AA250" s="29">
        <f t="shared" si="121"/>
        <v>5</v>
      </c>
      <c r="AB250" s="29">
        <f t="shared" si="122"/>
        <v>8</v>
      </c>
      <c r="AC250" s="29" t="str">
        <f t="shared" si="123"/>
        <v/>
      </c>
      <c r="AD250" s="29" t="str">
        <f t="shared" si="124"/>
        <v/>
      </c>
      <c r="AE250" s="29" t="str">
        <f t="shared" si="125"/>
        <v/>
      </c>
      <c r="AF250" s="29" t="str">
        <f t="shared" si="126"/>
        <v/>
      </c>
      <c r="AG250" s="27">
        <v>13</v>
      </c>
      <c r="AH250" s="27">
        <v>0</v>
      </c>
      <c r="AI250" s="27">
        <v>0</v>
      </c>
      <c r="AJ250" s="23" t="s">
        <v>184</v>
      </c>
      <c r="AK250" s="23" t="s">
        <v>277</v>
      </c>
      <c r="AL250" s="30" t="s">
        <v>278</v>
      </c>
      <c r="AN250" s="31" t="str">
        <f t="shared" si="130"/>
        <v>2 doors</v>
      </c>
      <c r="AO250" s="23" t="s">
        <v>66</v>
      </c>
      <c r="AP250" s="23" t="s">
        <v>71</v>
      </c>
      <c r="AQ250" s="23" t="s">
        <v>275</v>
      </c>
      <c r="AR250" s="34">
        <f t="shared" si="127"/>
        <v>9001.01</v>
      </c>
      <c r="AS250" s="23">
        <v>90</v>
      </c>
      <c r="AT250" s="23">
        <v>1</v>
      </c>
      <c r="AU250" s="23">
        <v>1</v>
      </c>
    </row>
    <row r="251" spans="1:47">
      <c r="A251" s="26" t="s">
        <v>344</v>
      </c>
      <c r="B251" s="23" t="s">
        <v>55</v>
      </c>
      <c r="C251" s="23">
        <v>2</v>
      </c>
      <c r="E251" s="23" t="s">
        <v>61</v>
      </c>
      <c r="F251" s="23" t="s">
        <v>345</v>
      </c>
      <c r="G251" s="27">
        <v>2006</v>
      </c>
      <c r="H251" s="27">
        <v>20</v>
      </c>
      <c r="I251" s="27">
        <v>25</v>
      </c>
      <c r="J251" s="27">
        <v>20</v>
      </c>
      <c r="K251" s="27">
        <v>14</v>
      </c>
      <c r="L251" s="27">
        <v>14</v>
      </c>
      <c r="P251" s="28">
        <f t="shared" si="118"/>
        <v>28</v>
      </c>
      <c r="Q251" s="28">
        <f t="shared" si="119"/>
        <v>27.128</v>
      </c>
      <c r="R251" s="28">
        <f t="shared" si="120"/>
        <v>25.834666666666667</v>
      </c>
      <c r="S251" s="27">
        <v>70</v>
      </c>
      <c r="T251" s="29">
        <f t="shared" si="129"/>
        <v>278.8</v>
      </c>
      <c r="U251" s="27">
        <v>205</v>
      </c>
      <c r="V251" s="27">
        <v>14</v>
      </c>
      <c r="W251" s="27">
        <v>77</v>
      </c>
      <c r="X251" s="29">
        <f t="shared" si="128"/>
        <v>200</v>
      </c>
      <c r="Y251" s="27" t="s">
        <v>69</v>
      </c>
      <c r="Z251" s="27" t="s">
        <v>69</v>
      </c>
      <c r="AA251" s="29">
        <f t="shared" si="121"/>
        <v>5</v>
      </c>
      <c r="AB251" s="29">
        <f t="shared" si="122"/>
        <v>8</v>
      </c>
      <c r="AC251" s="29" t="str">
        <f t="shared" si="123"/>
        <v/>
      </c>
      <c r="AD251" s="29" t="str">
        <f t="shared" si="124"/>
        <v/>
      </c>
      <c r="AE251" s="29" t="str">
        <f t="shared" si="125"/>
        <v/>
      </c>
      <c r="AF251" s="29" t="str">
        <f t="shared" si="126"/>
        <v/>
      </c>
      <c r="AG251" s="27">
        <v>13</v>
      </c>
      <c r="AH251" s="27">
        <v>0</v>
      </c>
      <c r="AI251" s="27">
        <v>0</v>
      </c>
      <c r="AJ251" s="23" t="s">
        <v>184</v>
      </c>
      <c r="AK251" s="23" t="s">
        <v>277</v>
      </c>
      <c r="AL251" s="30" t="s">
        <v>346</v>
      </c>
      <c r="AN251" s="31" t="str">
        <f t="shared" si="130"/>
        <v>2 doors</v>
      </c>
      <c r="AO251" s="23" t="s">
        <v>66</v>
      </c>
      <c r="AP251" s="23" t="s">
        <v>71</v>
      </c>
      <c r="AQ251" s="23" t="s">
        <v>78</v>
      </c>
      <c r="AR251" s="34">
        <f t="shared" si="127"/>
        <v>9002</v>
      </c>
      <c r="AS251" s="23">
        <v>90</v>
      </c>
      <c r="AT251" s="23">
        <v>2</v>
      </c>
      <c r="AU251" s="23">
        <v>0</v>
      </c>
    </row>
    <row r="252" spans="1:47">
      <c r="A252" s="26" t="s">
        <v>344</v>
      </c>
      <c r="B252" s="23" t="s">
        <v>55</v>
      </c>
      <c r="C252" s="23">
        <v>2</v>
      </c>
      <c r="E252" s="23" t="s">
        <v>61</v>
      </c>
      <c r="F252" s="23" t="s">
        <v>345</v>
      </c>
      <c r="G252" s="27">
        <v>2006</v>
      </c>
      <c r="H252" s="27">
        <v>20</v>
      </c>
      <c r="I252" s="27">
        <v>25</v>
      </c>
      <c r="J252" s="27">
        <v>20</v>
      </c>
      <c r="K252" s="27">
        <v>14</v>
      </c>
      <c r="L252" s="27">
        <v>14</v>
      </c>
      <c r="P252" s="28">
        <f t="shared" si="118"/>
        <v>28</v>
      </c>
      <c r="Q252" s="28">
        <f t="shared" si="119"/>
        <v>27.128</v>
      </c>
      <c r="R252" s="28">
        <f t="shared" si="120"/>
        <v>25.834666666666667</v>
      </c>
      <c r="S252" s="27">
        <v>70</v>
      </c>
      <c r="T252" s="29">
        <f t="shared" si="129"/>
        <v>278.8</v>
      </c>
      <c r="U252" s="27">
        <v>205</v>
      </c>
      <c r="V252" s="27">
        <v>14</v>
      </c>
      <c r="W252" s="27">
        <v>77</v>
      </c>
      <c r="X252" s="29">
        <f t="shared" si="128"/>
        <v>200</v>
      </c>
      <c r="Y252" s="27" t="s">
        <v>308</v>
      </c>
      <c r="Z252" s="27" t="s">
        <v>308</v>
      </c>
      <c r="AA252" s="29">
        <f t="shared" si="121"/>
        <v>5</v>
      </c>
      <c r="AB252" s="29">
        <f t="shared" si="122"/>
        <v>8</v>
      </c>
      <c r="AC252" s="29" t="str">
        <f t="shared" si="123"/>
        <v/>
      </c>
      <c r="AD252" s="29" t="str">
        <f t="shared" si="124"/>
        <v/>
      </c>
      <c r="AE252" s="29" t="str">
        <f t="shared" si="125"/>
        <v/>
      </c>
      <c r="AF252" s="29" t="str">
        <f t="shared" si="126"/>
        <v/>
      </c>
      <c r="AG252" s="27">
        <v>13</v>
      </c>
      <c r="AH252" s="27">
        <v>0</v>
      </c>
      <c r="AI252" s="27">
        <v>0</v>
      </c>
      <c r="AJ252" s="23" t="s">
        <v>184</v>
      </c>
      <c r="AK252" s="23" t="s">
        <v>277</v>
      </c>
      <c r="AL252" s="30" t="s">
        <v>346</v>
      </c>
      <c r="AN252" s="31" t="str">
        <f t="shared" si="130"/>
        <v>2 doors</v>
      </c>
      <c r="AO252" s="23" t="s">
        <v>66</v>
      </c>
      <c r="AP252" s="23" t="s">
        <v>71</v>
      </c>
      <c r="AQ252" s="23" t="s">
        <v>275</v>
      </c>
      <c r="AR252" s="34">
        <f t="shared" si="127"/>
        <v>9002.01</v>
      </c>
      <c r="AS252" s="23">
        <v>90</v>
      </c>
      <c r="AT252" s="23">
        <v>2</v>
      </c>
      <c r="AU252" s="23">
        <v>1</v>
      </c>
    </row>
    <row r="253" spans="1:47">
      <c r="A253" s="26" t="s">
        <v>347</v>
      </c>
      <c r="B253" s="23" t="s">
        <v>55</v>
      </c>
      <c r="C253" s="23">
        <v>2</v>
      </c>
      <c r="E253" s="23" t="s">
        <v>60</v>
      </c>
      <c r="F253" s="23" t="s">
        <v>348</v>
      </c>
      <c r="G253" s="27">
        <v>2006</v>
      </c>
      <c r="H253" s="27">
        <v>20</v>
      </c>
      <c r="I253" s="27">
        <v>25</v>
      </c>
      <c r="J253" s="27">
        <v>20</v>
      </c>
      <c r="K253" s="27">
        <v>14</v>
      </c>
      <c r="L253" s="27">
        <v>14</v>
      </c>
      <c r="P253" s="28">
        <f t="shared" si="118"/>
        <v>28</v>
      </c>
      <c r="Q253" s="28">
        <f t="shared" si="119"/>
        <v>22.44</v>
      </c>
      <c r="R253" s="28">
        <f t="shared" si="120"/>
        <v>31.693333333333335</v>
      </c>
      <c r="S253" s="27">
        <v>70</v>
      </c>
      <c r="T253" s="29">
        <f t="shared" si="129"/>
        <v>278.8</v>
      </c>
      <c r="U253" s="27">
        <v>205</v>
      </c>
      <c r="V253" s="27">
        <v>13</v>
      </c>
      <c r="W253" s="27">
        <v>77</v>
      </c>
      <c r="X253" s="29">
        <f t="shared" si="128"/>
        <v>200</v>
      </c>
      <c r="Y253" s="27" t="s">
        <v>69</v>
      </c>
      <c r="Z253" s="27" t="s">
        <v>69</v>
      </c>
      <c r="AA253" s="29">
        <f t="shared" si="121"/>
        <v>5</v>
      </c>
      <c r="AB253" s="29">
        <f t="shared" si="122"/>
        <v>8</v>
      </c>
      <c r="AC253" s="29" t="str">
        <f t="shared" si="123"/>
        <v/>
      </c>
      <c r="AD253" s="29" t="str">
        <f t="shared" si="124"/>
        <v/>
      </c>
      <c r="AE253" s="29" t="str">
        <f t="shared" si="125"/>
        <v/>
      </c>
      <c r="AF253" s="29" t="str">
        <f t="shared" si="126"/>
        <v/>
      </c>
      <c r="AG253" s="27">
        <v>13</v>
      </c>
      <c r="AH253" s="27">
        <v>0</v>
      </c>
      <c r="AI253" s="27">
        <v>0</v>
      </c>
      <c r="AJ253" s="23" t="s">
        <v>184</v>
      </c>
      <c r="AK253" s="23" t="s">
        <v>277</v>
      </c>
      <c r="AL253" s="30" t="s">
        <v>349</v>
      </c>
      <c r="AN253" s="31" t="str">
        <f t="shared" si="130"/>
        <v>2 doors</v>
      </c>
      <c r="AO253" s="23" t="s">
        <v>66</v>
      </c>
      <c r="AP253" s="23" t="s">
        <v>71</v>
      </c>
      <c r="AQ253" s="23" t="s">
        <v>78</v>
      </c>
      <c r="AR253" s="34">
        <f t="shared" si="127"/>
        <v>9003</v>
      </c>
      <c r="AS253" s="23">
        <v>90</v>
      </c>
      <c r="AT253" s="23">
        <v>3</v>
      </c>
      <c r="AU253" s="23">
        <v>0</v>
      </c>
    </row>
    <row r="254" spans="1:47">
      <c r="A254" s="26" t="s">
        <v>347</v>
      </c>
      <c r="B254" s="23" t="s">
        <v>55</v>
      </c>
      <c r="C254" s="23">
        <v>2</v>
      </c>
      <c r="E254" s="23" t="s">
        <v>60</v>
      </c>
      <c r="F254" s="23" t="s">
        <v>348</v>
      </c>
      <c r="G254" s="27">
        <v>2006</v>
      </c>
      <c r="H254" s="27">
        <v>20</v>
      </c>
      <c r="I254" s="27">
        <v>25</v>
      </c>
      <c r="J254" s="27">
        <v>20</v>
      </c>
      <c r="K254" s="27">
        <v>14</v>
      </c>
      <c r="L254" s="27">
        <v>14</v>
      </c>
      <c r="P254" s="28">
        <f t="shared" si="118"/>
        <v>28</v>
      </c>
      <c r="Q254" s="28">
        <f t="shared" si="119"/>
        <v>22.44</v>
      </c>
      <c r="R254" s="28">
        <f t="shared" si="120"/>
        <v>31.693333333333335</v>
      </c>
      <c r="S254" s="27">
        <v>70</v>
      </c>
      <c r="T254" s="29">
        <f t="shared" si="129"/>
        <v>278.8</v>
      </c>
      <c r="U254" s="27">
        <v>205</v>
      </c>
      <c r="V254" s="27">
        <v>13</v>
      </c>
      <c r="W254" s="27">
        <v>77</v>
      </c>
      <c r="X254" s="29">
        <f t="shared" si="128"/>
        <v>200</v>
      </c>
      <c r="Y254" s="27" t="s">
        <v>308</v>
      </c>
      <c r="Z254" s="27" t="s">
        <v>308</v>
      </c>
      <c r="AA254" s="29">
        <f t="shared" si="121"/>
        <v>5</v>
      </c>
      <c r="AB254" s="29">
        <f t="shared" si="122"/>
        <v>8</v>
      </c>
      <c r="AC254" s="29" t="str">
        <f t="shared" si="123"/>
        <v/>
      </c>
      <c r="AD254" s="29" t="str">
        <f t="shared" si="124"/>
        <v/>
      </c>
      <c r="AE254" s="29" t="str">
        <f t="shared" si="125"/>
        <v/>
      </c>
      <c r="AF254" s="29" t="str">
        <f t="shared" si="126"/>
        <v/>
      </c>
      <c r="AG254" s="27">
        <v>13</v>
      </c>
      <c r="AH254" s="27">
        <v>0</v>
      </c>
      <c r="AI254" s="27">
        <v>0</v>
      </c>
      <c r="AJ254" s="23" t="s">
        <v>184</v>
      </c>
      <c r="AK254" s="23" t="s">
        <v>277</v>
      </c>
      <c r="AL254" s="30" t="s">
        <v>349</v>
      </c>
      <c r="AN254" s="31" t="str">
        <f t="shared" si="130"/>
        <v>2 doors</v>
      </c>
      <c r="AO254" s="23" t="s">
        <v>66</v>
      </c>
      <c r="AP254" s="23" t="s">
        <v>71</v>
      </c>
      <c r="AQ254" s="23" t="s">
        <v>275</v>
      </c>
      <c r="AR254" s="34">
        <f t="shared" si="127"/>
        <v>9003.01</v>
      </c>
      <c r="AS254" s="23">
        <v>90</v>
      </c>
      <c r="AT254" s="23">
        <v>3</v>
      </c>
      <c r="AU254" s="23">
        <v>1</v>
      </c>
    </row>
    <row r="255" spans="1:47">
      <c r="A255" s="26" t="s">
        <v>350</v>
      </c>
      <c r="B255" s="23" t="s">
        <v>55</v>
      </c>
      <c r="C255" s="23">
        <v>2</v>
      </c>
      <c r="E255" s="23" t="s">
        <v>61</v>
      </c>
      <c r="F255" s="23" t="s">
        <v>351</v>
      </c>
      <c r="G255" s="27">
        <v>2012</v>
      </c>
      <c r="H255" s="27">
        <v>20</v>
      </c>
      <c r="I255" s="27">
        <v>25</v>
      </c>
      <c r="J255" s="27">
        <v>20</v>
      </c>
      <c r="K255" s="27">
        <v>14</v>
      </c>
      <c r="L255" s="27">
        <v>14</v>
      </c>
      <c r="P255" s="28">
        <f t="shared" si="118"/>
        <v>28</v>
      </c>
      <c r="Q255" s="28">
        <f t="shared" si="119"/>
        <v>26.528000000000002</v>
      </c>
      <c r="R255" s="28">
        <f t="shared" si="120"/>
        <v>25.776</v>
      </c>
      <c r="S255" s="27">
        <v>70</v>
      </c>
      <c r="T255" s="29">
        <f t="shared" si="129"/>
        <v>278.8</v>
      </c>
      <c r="U255" s="27">
        <v>205</v>
      </c>
      <c r="V255" s="27">
        <v>13</v>
      </c>
      <c r="W255" s="27">
        <v>81</v>
      </c>
      <c r="X255" s="29">
        <f t="shared" si="128"/>
        <v>200</v>
      </c>
      <c r="Y255" s="27" t="s">
        <v>69</v>
      </c>
      <c r="Z255" s="27" t="s">
        <v>69</v>
      </c>
      <c r="AA255" s="29">
        <f t="shared" si="121"/>
        <v>5</v>
      </c>
      <c r="AB255" s="29">
        <f t="shared" si="122"/>
        <v>8</v>
      </c>
      <c r="AC255" s="29" t="str">
        <f t="shared" si="123"/>
        <v/>
      </c>
      <c r="AD255" s="29" t="str">
        <f t="shared" si="124"/>
        <v/>
      </c>
      <c r="AE255" s="29" t="str">
        <f t="shared" si="125"/>
        <v/>
      </c>
      <c r="AF255" s="29" t="str">
        <f t="shared" si="126"/>
        <v/>
      </c>
      <c r="AG255" s="27">
        <v>13</v>
      </c>
      <c r="AH255" s="27">
        <v>0</v>
      </c>
      <c r="AI255" s="27">
        <v>0</v>
      </c>
      <c r="AJ255" s="23" t="s">
        <v>184</v>
      </c>
      <c r="AK255" s="23" t="s">
        <v>277</v>
      </c>
      <c r="AL255" s="30" t="s">
        <v>352</v>
      </c>
      <c r="AN255" s="31" t="str">
        <f t="shared" si="130"/>
        <v>2 doors</v>
      </c>
      <c r="AO255" s="23" t="s">
        <v>66</v>
      </c>
      <c r="AP255" s="23" t="s">
        <v>71</v>
      </c>
      <c r="AQ255" s="23" t="s">
        <v>78</v>
      </c>
      <c r="AR255" s="34">
        <f t="shared" si="127"/>
        <v>9004</v>
      </c>
      <c r="AS255" s="23">
        <v>90</v>
      </c>
      <c r="AT255" s="23">
        <v>4</v>
      </c>
      <c r="AU255" s="23">
        <v>0</v>
      </c>
    </row>
    <row r="256" spans="1:47">
      <c r="A256" s="26" t="s">
        <v>350</v>
      </c>
      <c r="B256" s="23" t="s">
        <v>55</v>
      </c>
      <c r="C256" s="23">
        <v>2</v>
      </c>
      <c r="E256" s="23" t="s">
        <v>61</v>
      </c>
      <c r="F256" s="23" t="s">
        <v>351</v>
      </c>
      <c r="G256" s="27">
        <v>2012</v>
      </c>
      <c r="H256" s="27">
        <v>20</v>
      </c>
      <c r="I256" s="27">
        <v>25</v>
      </c>
      <c r="J256" s="27">
        <v>20</v>
      </c>
      <c r="K256" s="27">
        <v>14</v>
      </c>
      <c r="L256" s="27">
        <v>14</v>
      </c>
      <c r="P256" s="28">
        <f t="shared" si="118"/>
        <v>28</v>
      </c>
      <c r="Q256" s="28">
        <f t="shared" si="119"/>
        <v>26.528000000000002</v>
      </c>
      <c r="R256" s="28">
        <f t="shared" si="120"/>
        <v>25.776</v>
      </c>
      <c r="S256" s="27">
        <v>70</v>
      </c>
      <c r="T256" s="29">
        <f t="shared" si="129"/>
        <v>278.8</v>
      </c>
      <c r="U256" s="27">
        <v>205</v>
      </c>
      <c r="V256" s="27">
        <v>13</v>
      </c>
      <c r="W256" s="27">
        <v>81</v>
      </c>
      <c r="X256" s="29">
        <f t="shared" si="128"/>
        <v>200</v>
      </c>
      <c r="Y256" s="27" t="s">
        <v>353</v>
      </c>
      <c r="Z256" s="27" t="s">
        <v>353</v>
      </c>
      <c r="AA256" s="29">
        <f t="shared" si="121"/>
        <v>5</v>
      </c>
      <c r="AB256" s="29">
        <f t="shared" si="122"/>
        <v>8</v>
      </c>
      <c r="AC256" s="29" t="str">
        <f t="shared" si="123"/>
        <v/>
      </c>
      <c r="AD256" s="29" t="str">
        <f t="shared" si="124"/>
        <v/>
      </c>
      <c r="AE256" s="29" t="str">
        <f t="shared" si="125"/>
        <v/>
      </c>
      <c r="AF256" s="29" t="str">
        <f t="shared" si="126"/>
        <v/>
      </c>
      <c r="AG256" s="27">
        <v>13</v>
      </c>
      <c r="AH256" s="27">
        <v>0</v>
      </c>
      <c r="AI256" s="27">
        <v>0</v>
      </c>
      <c r="AJ256" s="23" t="s">
        <v>184</v>
      </c>
      <c r="AK256" s="23" t="s">
        <v>277</v>
      </c>
      <c r="AL256" s="30" t="s">
        <v>352</v>
      </c>
      <c r="AN256" s="31" t="str">
        <f t="shared" si="130"/>
        <v>2 doors</v>
      </c>
      <c r="AO256" s="23" t="s">
        <v>66</v>
      </c>
      <c r="AP256" s="23" t="s">
        <v>71</v>
      </c>
      <c r="AQ256" s="23" t="s">
        <v>275</v>
      </c>
      <c r="AR256" s="34">
        <f t="shared" si="127"/>
        <v>9004.01</v>
      </c>
      <c r="AS256" s="23">
        <v>90</v>
      </c>
      <c r="AT256" s="23">
        <v>4</v>
      </c>
      <c r="AU256" s="23">
        <v>1</v>
      </c>
    </row>
    <row r="257" spans="1:47">
      <c r="A257" s="26" t="s">
        <v>350</v>
      </c>
      <c r="B257" s="23" t="s">
        <v>55</v>
      </c>
      <c r="C257" s="23">
        <v>2</v>
      </c>
      <c r="E257" s="23" t="s">
        <v>61</v>
      </c>
      <c r="F257" s="23" t="s">
        <v>351</v>
      </c>
      <c r="G257" s="27">
        <v>2012</v>
      </c>
      <c r="H257" s="27">
        <v>20</v>
      </c>
      <c r="I257" s="27">
        <v>25</v>
      </c>
      <c r="J257" s="27">
        <v>20</v>
      </c>
      <c r="K257" s="27">
        <v>14</v>
      </c>
      <c r="L257" s="27">
        <v>14</v>
      </c>
      <c r="P257" s="28">
        <f t="shared" si="118"/>
        <v>28</v>
      </c>
      <c r="Q257" s="28">
        <f t="shared" si="119"/>
        <v>26.528000000000002</v>
      </c>
      <c r="R257" s="28">
        <f t="shared" si="120"/>
        <v>25.776</v>
      </c>
      <c r="S257" s="27">
        <v>70</v>
      </c>
      <c r="T257" s="29">
        <f t="shared" si="129"/>
        <v>278.8</v>
      </c>
      <c r="U257" s="27">
        <v>205</v>
      </c>
      <c r="V257" s="27">
        <v>13</v>
      </c>
      <c r="W257" s="27">
        <v>81</v>
      </c>
      <c r="X257" s="29">
        <f t="shared" si="128"/>
        <v>200</v>
      </c>
      <c r="Y257" s="27" t="s">
        <v>355</v>
      </c>
      <c r="Z257" s="27" t="s">
        <v>308</v>
      </c>
      <c r="AA257" s="29">
        <f t="shared" si="121"/>
        <v>5</v>
      </c>
      <c r="AB257" s="29">
        <f t="shared" si="122"/>
        <v>8</v>
      </c>
      <c r="AC257" s="29" t="str">
        <f t="shared" si="123"/>
        <v/>
      </c>
      <c r="AD257" s="29" t="str">
        <f t="shared" si="124"/>
        <v/>
      </c>
      <c r="AE257" s="29" t="str">
        <f t="shared" si="125"/>
        <v/>
      </c>
      <c r="AF257" s="29" t="str">
        <f t="shared" si="126"/>
        <v/>
      </c>
      <c r="AG257" s="27">
        <v>13</v>
      </c>
      <c r="AH257" s="27">
        <v>0</v>
      </c>
      <c r="AI257" s="27">
        <v>0</v>
      </c>
      <c r="AJ257" s="23" t="s">
        <v>184</v>
      </c>
      <c r="AK257" s="23" t="s">
        <v>277</v>
      </c>
      <c r="AL257" s="30" t="s">
        <v>352</v>
      </c>
      <c r="AN257" s="31" t="str">
        <f t="shared" si="130"/>
        <v>2 doors</v>
      </c>
      <c r="AO257" s="23" t="s">
        <v>66</v>
      </c>
      <c r="AP257" s="23" t="s">
        <v>71</v>
      </c>
      <c r="AQ257" s="23" t="s">
        <v>275</v>
      </c>
      <c r="AR257" s="34">
        <f t="shared" si="127"/>
        <v>9004.02</v>
      </c>
      <c r="AS257" s="23">
        <v>90</v>
      </c>
      <c r="AT257" s="23">
        <v>4</v>
      </c>
      <c r="AU257" s="23">
        <v>2</v>
      </c>
    </row>
    <row r="258" spans="1:47">
      <c r="A258" s="26" t="s">
        <v>350</v>
      </c>
      <c r="B258" s="23" t="s">
        <v>55</v>
      </c>
      <c r="C258" s="23">
        <v>2</v>
      </c>
      <c r="E258" s="23" t="s">
        <v>61</v>
      </c>
      <c r="F258" s="23" t="s">
        <v>351</v>
      </c>
      <c r="G258" s="27">
        <v>2012</v>
      </c>
      <c r="H258" s="27">
        <v>20</v>
      </c>
      <c r="I258" s="27">
        <v>25</v>
      </c>
      <c r="J258" s="27">
        <v>20</v>
      </c>
      <c r="K258" s="27">
        <v>14</v>
      </c>
      <c r="L258" s="27">
        <v>14</v>
      </c>
      <c r="P258" s="28">
        <f t="shared" si="118"/>
        <v>28</v>
      </c>
      <c r="Q258" s="28">
        <f t="shared" si="119"/>
        <v>26.528000000000002</v>
      </c>
      <c r="R258" s="28">
        <f t="shared" si="120"/>
        <v>25.776</v>
      </c>
      <c r="S258" s="27">
        <v>70</v>
      </c>
      <c r="T258" s="29">
        <f t="shared" si="129"/>
        <v>278.8</v>
      </c>
      <c r="U258" s="27">
        <v>205</v>
      </c>
      <c r="V258" s="27">
        <v>13</v>
      </c>
      <c r="W258" s="27">
        <v>81</v>
      </c>
      <c r="X258" s="29">
        <f t="shared" si="128"/>
        <v>200</v>
      </c>
      <c r="Y258" s="27" t="s">
        <v>354</v>
      </c>
      <c r="Z258" s="27" t="s">
        <v>308</v>
      </c>
      <c r="AA258" s="29">
        <f t="shared" si="121"/>
        <v>5</v>
      </c>
      <c r="AB258" s="29">
        <f t="shared" si="122"/>
        <v>8</v>
      </c>
      <c r="AC258" s="29" t="str">
        <f t="shared" si="123"/>
        <v/>
      </c>
      <c r="AD258" s="29" t="str">
        <f t="shared" si="124"/>
        <v/>
      </c>
      <c r="AE258" s="29" t="str">
        <f t="shared" si="125"/>
        <v/>
      </c>
      <c r="AF258" s="29" t="str">
        <f t="shared" si="126"/>
        <v/>
      </c>
      <c r="AG258" s="27">
        <v>13</v>
      </c>
      <c r="AH258" s="27">
        <v>0</v>
      </c>
      <c r="AI258" s="27">
        <v>0</v>
      </c>
      <c r="AJ258" s="23" t="s">
        <v>184</v>
      </c>
      <c r="AK258" s="23" t="s">
        <v>277</v>
      </c>
      <c r="AL258" s="30" t="s">
        <v>352</v>
      </c>
      <c r="AN258" s="31" t="str">
        <f t="shared" si="130"/>
        <v>2 doors</v>
      </c>
      <c r="AO258" s="23" t="s">
        <v>66</v>
      </c>
      <c r="AP258" s="23" t="s">
        <v>71</v>
      </c>
      <c r="AQ258" s="23" t="s">
        <v>275</v>
      </c>
      <c r="AR258" s="34">
        <f t="shared" si="127"/>
        <v>9004.0300000000007</v>
      </c>
      <c r="AS258" s="23">
        <v>90</v>
      </c>
      <c r="AT258" s="23">
        <v>4</v>
      </c>
      <c r="AU258" s="23">
        <v>3</v>
      </c>
    </row>
    <row r="259" spans="1:47">
      <c r="A259" s="26" t="s">
        <v>350</v>
      </c>
      <c r="B259" s="23" t="s">
        <v>55</v>
      </c>
      <c r="C259" s="23">
        <v>2</v>
      </c>
      <c r="E259" s="23" t="s">
        <v>61</v>
      </c>
      <c r="F259" s="23" t="s">
        <v>351</v>
      </c>
      <c r="G259" s="27">
        <v>2012</v>
      </c>
      <c r="H259" s="27">
        <v>20</v>
      </c>
      <c r="I259" s="27">
        <v>25</v>
      </c>
      <c r="J259" s="27">
        <v>20</v>
      </c>
      <c r="K259" s="27">
        <v>14</v>
      </c>
      <c r="L259" s="27">
        <v>14</v>
      </c>
      <c r="P259" s="28">
        <f t="shared" si="118"/>
        <v>28</v>
      </c>
      <c r="Q259" s="28">
        <f t="shared" si="119"/>
        <v>26.528000000000002</v>
      </c>
      <c r="R259" s="28">
        <f t="shared" si="120"/>
        <v>25.776</v>
      </c>
      <c r="S259" s="27">
        <v>70</v>
      </c>
      <c r="T259" s="29">
        <f t="shared" ref="T259:T260" si="131">U259*1.36</f>
        <v>278.8</v>
      </c>
      <c r="U259" s="27">
        <v>205</v>
      </c>
      <c r="V259" s="27">
        <v>13</v>
      </c>
      <c r="W259" s="27">
        <v>81</v>
      </c>
      <c r="X259" s="29">
        <f t="shared" si="128"/>
        <v>200</v>
      </c>
      <c r="Y259" s="27" t="s">
        <v>304</v>
      </c>
      <c r="Z259" s="27" t="s">
        <v>356</v>
      </c>
      <c r="AA259" s="29">
        <f t="shared" si="121"/>
        <v>5</v>
      </c>
      <c r="AB259" s="29">
        <f t="shared" si="122"/>
        <v>8</v>
      </c>
      <c r="AC259" s="29" t="str">
        <f t="shared" si="123"/>
        <v/>
      </c>
      <c r="AD259" s="29" t="str">
        <f t="shared" si="124"/>
        <v/>
      </c>
      <c r="AE259" s="29" t="str">
        <f t="shared" si="125"/>
        <v/>
      </c>
      <c r="AF259" s="29" t="str">
        <f t="shared" si="126"/>
        <v/>
      </c>
      <c r="AG259" s="27">
        <v>13</v>
      </c>
      <c r="AH259" s="27">
        <v>0</v>
      </c>
      <c r="AI259" s="27">
        <v>0</v>
      </c>
      <c r="AJ259" s="23" t="s">
        <v>184</v>
      </c>
      <c r="AK259" s="23" t="s">
        <v>277</v>
      </c>
      <c r="AL259" s="30" t="s">
        <v>352</v>
      </c>
      <c r="AN259" s="31" t="str">
        <f t="shared" si="130"/>
        <v>2 doors</v>
      </c>
      <c r="AO259" s="23" t="s">
        <v>66</v>
      </c>
      <c r="AP259" s="23" t="s">
        <v>71</v>
      </c>
      <c r="AQ259" s="23" t="s">
        <v>275</v>
      </c>
      <c r="AR259" s="34">
        <f t="shared" si="127"/>
        <v>9004.0400000000009</v>
      </c>
      <c r="AS259" s="23">
        <v>90</v>
      </c>
      <c r="AT259" s="23">
        <v>4</v>
      </c>
      <c r="AU259" s="23">
        <v>4</v>
      </c>
    </row>
    <row r="260" spans="1:47">
      <c r="A260" s="26" t="s">
        <v>350</v>
      </c>
      <c r="B260" s="23" t="s">
        <v>55</v>
      </c>
      <c r="C260" s="23">
        <v>2</v>
      </c>
      <c r="E260" s="23" t="s">
        <v>61</v>
      </c>
      <c r="F260" s="23" t="s">
        <v>351</v>
      </c>
      <c r="G260" s="27">
        <v>2012</v>
      </c>
      <c r="H260" s="27">
        <v>20</v>
      </c>
      <c r="I260" s="27">
        <v>25</v>
      </c>
      <c r="J260" s="27">
        <v>20</v>
      </c>
      <c r="K260" s="27">
        <v>14</v>
      </c>
      <c r="L260" s="27">
        <v>14</v>
      </c>
      <c r="P260" s="28">
        <f t="shared" si="118"/>
        <v>28</v>
      </c>
      <c r="Q260" s="28">
        <f t="shared" si="119"/>
        <v>26.528000000000002</v>
      </c>
      <c r="R260" s="28">
        <f t="shared" si="120"/>
        <v>25.776</v>
      </c>
      <c r="S260" s="27">
        <v>70</v>
      </c>
      <c r="T260" s="29">
        <f t="shared" si="131"/>
        <v>278.8</v>
      </c>
      <c r="U260" s="27">
        <v>205</v>
      </c>
      <c r="V260" s="27">
        <v>13</v>
      </c>
      <c r="W260" s="27">
        <v>81</v>
      </c>
      <c r="X260" s="29">
        <f t="shared" si="128"/>
        <v>200</v>
      </c>
      <c r="Y260" s="27" t="s">
        <v>305</v>
      </c>
      <c r="Z260" s="27" t="s">
        <v>356</v>
      </c>
      <c r="AA260" s="29">
        <f t="shared" si="121"/>
        <v>5</v>
      </c>
      <c r="AB260" s="29">
        <f t="shared" si="122"/>
        <v>8</v>
      </c>
      <c r="AC260" s="29" t="str">
        <f t="shared" si="123"/>
        <v/>
      </c>
      <c r="AD260" s="29" t="str">
        <f t="shared" si="124"/>
        <v/>
      </c>
      <c r="AE260" s="29" t="str">
        <f t="shared" si="125"/>
        <v/>
      </c>
      <c r="AF260" s="29" t="str">
        <f t="shared" si="126"/>
        <v/>
      </c>
      <c r="AG260" s="27">
        <v>13</v>
      </c>
      <c r="AH260" s="27">
        <v>0</v>
      </c>
      <c r="AI260" s="27">
        <v>0</v>
      </c>
      <c r="AJ260" s="23" t="s">
        <v>184</v>
      </c>
      <c r="AK260" s="23" t="s">
        <v>277</v>
      </c>
      <c r="AL260" s="30" t="s">
        <v>352</v>
      </c>
      <c r="AN260" s="31" t="str">
        <f t="shared" si="130"/>
        <v>2 doors</v>
      </c>
      <c r="AO260" s="23" t="s">
        <v>66</v>
      </c>
      <c r="AP260" s="23" t="s">
        <v>71</v>
      </c>
      <c r="AQ260" s="23" t="s">
        <v>275</v>
      </c>
      <c r="AR260" s="34">
        <f t="shared" si="127"/>
        <v>9004.0499999999993</v>
      </c>
      <c r="AS260" s="23">
        <v>90</v>
      </c>
      <c r="AT260" s="23">
        <v>4</v>
      </c>
      <c r="AU260" s="23">
        <v>5</v>
      </c>
    </row>
  </sheetData>
  <autoFilter ref="A1:AU260" xr:uid="{4632EB64-3C9B-49A1-A2BE-C39B89F1FE5D}">
    <sortState xmlns:xlrd2="http://schemas.microsoft.com/office/spreadsheetml/2017/richdata2" ref="A2:AU260">
      <sortCondition ref="AR1:AR260"/>
    </sortState>
  </autoFilter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D93C-01B3-49C6-81E6-BCED4F1281E8}">
  <dimension ref="A1:AI36"/>
  <sheetViews>
    <sheetView workbookViewId="0">
      <selection activeCell="F41" sqref="F41"/>
    </sheetView>
  </sheetViews>
  <sheetFormatPr defaultRowHeight="13.8"/>
  <cols>
    <col min="1" max="1" width="18" bestFit="1" customWidth="1"/>
    <col min="2" max="4" width="7.59765625" customWidth="1"/>
    <col min="8" max="46" width="3.59765625" customWidth="1"/>
  </cols>
  <sheetData>
    <row r="1" spans="1:35" ht="14.4" thickBot="1">
      <c r="A1" t="s">
        <v>53</v>
      </c>
      <c r="B1" s="2" t="s">
        <v>50</v>
      </c>
      <c r="C1" s="3" t="s">
        <v>51</v>
      </c>
      <c r="D1" s="4" t="s">
        <v>52</v>
      </c>
    </row>
    <row r="2" spans="1:35">
      <c r="B2" s="5">
        <v>1</v>
      </c>
      <c r="C2" s="6">
        <v>3</v>
      </c>
      <c r="D2" s="7">
        <v>4</v>
      </c>
      <c r="AG2">
        <v>9</v>
      </c>
      <c r="AH2">
        <v>9</v>
      </c>
      <c r="AI2">
        <v>9</v>
      </c>
    </row>
    <row r="3" spans="1:35">
      <c r="B3" s="8">
        <v>1</v>
      </c>
      <c r="C3" s="9">
        <v>2</v>
      </c>
      <c r="D3" s="10">
        <v>5</v>
      </c>
    </row>
    <row r="4" spans="1:35">
      <c r="B4" s="11">
        <v>1</v>
      </c>
      <c r="C4" s="12">
        <v>1</v>
      </c>
      <c r="D4" s="13">
        <v>6</v>
      </c>
    </row>
    <row r="5" spans="1:35" ht="14.4" thickBot="1">
      <c r="B5" s="14">
        <v>1</v>
      </c>
      <c r="C5" s="15">
        <v>0</v>
      </c>
      <c r="D5" s="16">
        <v>7</v>
      </c>
    </row>
    <row r="6" spans="1:35">
      <c r="B6" s="5">
        <v>2</v>
      </c>
      <c r="C6" s="6">
        <v>3</v>
      </c>
      <c r="D6" s="7">
        <v>8</v>
      </c>
    </row>
    <row r="7" spans="1:35">
      <c r="B7" s="11">
        <v>2</v>
      </c>
      <c r="C7" s="12">
        <v>2</v>
      </c>
      <c r="D7" s="13">
        <v>10</v>
      </c>
    </row>
    <row r="8" spans="1:35">
      <c r="B8" s="11">
        <v>2</v>
      </c>
      <c r="C8" s="12">
        <v>1</v>
      </c>
      <c r="D8" s="13">
        <v>12</v>
      </c>
    </row>
    <row r="9" spans="1:35" ht="14.4" thickBot="1">
      <c r="B9" s="17">
        <v>2</v>
      </c>
      <c r="C9" s="18">
        <v>0</v>
      </c>
      <c r="D9" s="19">
        <v>14</v>
      </c>
    </row>
    <row r="11" spans="1:35">
      <c r="A11" t="s">
        <v>0</v>
      </c>
      <c r="B11" t="s">
        <v>29</v>
      </c>
    </row>
    <row r="12" spans="1:35">
      <c r="A12" t="s">
        <v>30</v>
      </c>
      <c r="B12" t="s">
        <v>35</v>
      </c>
      <c r="D12" s="1"/>
    </row>
    <row r="13" spans="1:35">
      <c r="A13" t="s">
        <v>31</v>
      </c>
      <c r="B13" t="s">
        <v>36</v>
      </c>
      <c r="C13" s="1"/>
      <c r="D13" s="1"/>
    </row>
    <row r="14" spans="1:35">
      <c r="A14" t="s">
        <v>32</v>
      </c>
      <c r="B14" t="s">
        <v>37</v>
      </c>
      <c r="C14" s="1"/>
      <c r="D14" s="1"/>
    </row>
    <row r="16" spans="1:35">
      <c r="A16" t="s">
        <v>1</v>
      </c>
      <c r="B16" t="s">
        <v>33</v>
      </c>
    </row>
    <row r="17" spans="1:2">
      <c r="A17" t="s">
        <v>30</v>
      </c>
      <c r="B17" t="s">
        <v>34</v>
      </c>
    </row>
    <row r="18" spans="1:2">
      <c r="A18" t="s">
        <v>31</v>
      </c>
      <c r="B18" t="s">
        <v>38</v>
      </c>
    </row>
    <row r="19" spans="1:2">
      <c r="A19" t="s">
        <v>32</v>
      </c>
      <c r="B19" t="s">
        <v>39</v>
      </c>
    </row>
    <row r="21" spans="1:2">
      <c r="B21" t="s">
        <v>360</v>
      </c>
    </row>
    <row r="22" spans="1:2">
      <c r="A22" t="s">
        <v>40</v>
      </c>
      <c r="B22" t="s">
        <v>29</v>
      </c>
    </row>
    <row r="23" spans="1:2">
      <c r="A23" t="s">
        <v>30</v>
      </c>
      <c r="B23" t="s">
        <v>42</v>
      </c>
    </row>
    <row r="24" spans="1:2">
      <c r="A24" t="s">
        <v>31</v>
      </c>
      <c r="B24" t="s">
        <v>43</v>
      </c>
    </row>
    <row r="25" spans="1:2">
      <c r="A25" t="s">
        <v>48</v>
      </c>
      <c r="B25" t="s">
        <v>44</v>
      </c>
    </row>
    <row r="27" spans="1:2">
      <c r="B27" t="s">
        <v>361</v>
      </c>
    </row>
    <row r="28" spans="1:2">
      <c r="A28" t="s">
        <v>41</v>
      </c>
      <c r="B28" t="s">
        <v>33</v>
      </c>
    </row>
    <row r="29" spans="1:2">
      <c r="A29" t="s">
        <v>30</v>
      </c>
      <c r="B29" t="s">
        <v>45</v>
      </c>
    </row>
    <row r="30" spans="1:2">
      <c r="A30" t="s">
        <v>31</v>
      </c>
      <c r="B30" t="s">
        <v>46</v>
      </c>
    </row>
    <row r="31" spans="1:2">
      <c r="A31" t="s">
        <v>48</v>
      </c>
      <c r="B31" t="s">
        <v>47</v>
      </c>
    </row>
    <row r="36" spans="2:2">
      <c r="B36">
        <f>IF(AG2&gt;8, AG2-8, AG2)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7B698-2D58-434E-AAE9-8858EEF117AF}">
  <dimension ref="A1:AU35"/>
  <sheetViews>
    <sheetView workbookViewId="0">
      <selection activeCell="N43" sqref="N43"/>
    </sheetView>
  </sheetViews>
  <sheetFormatPr defaultRowHeight="13.8"/>
  <cols>
    <col min="1" max="1" width="5.3984375" customWidth="1"/>
    <col min="2" max="7" width="5.59765625" customWidth="1"/>
    <col min="8" max="8" width="3.3984375" customWidth="1"/>
    <col min="9" max="15" width="6.19921875" customWidth="1"/>
    <col min="17" max="17" width="2.69921875" bestFit="1" customWidth="1"/>
    <col min="18" max="23" width="4.796875" customWidth="1"/>
    <col min="24" max="24" width="3" customWidth="1"/>
    <col min="25" max="31" width="6.5" customWidth="1"/>
    <col min="32" max="32" width="4" customWidth="1"/>
    <col min="33" max="33" width="8.5" bestFit="1" customWidth="1"/>
    <col min="34" max="47" width="5.5" customWidth="1"/>
  </cols>
  <sheetData>
    <row r="1" spans="1:47">
      <c r="A1" t="s">
        <v>92</v>
      </c>
      <c r="B1">
        <v>0</v>
      </c>
      <c r="C1">
        <v>0</v>
      </c>
      <c r="D1" s="20">
        <v>11</v>
      </c>
      <c r="E1" s="20">
        <v>49</v>
      </c>
      <c r="F1" s="20">
        <v>-5</v>
      </c>
      <c r="G1" s="20">
        <v>-13</v>
      </c>
      <c r="I1" t="s">
        <v>94</v>
      </c>
      <c r="Q1" t="s">
        <v>187</v>
      </c>
      <c r="R1">
        <v>0</v>
      </c>
      <c r="S1">
        <v>0</v>
      </c>
      <c r="T1" s="20">
        <v>11</v>
      </c>
      <c r="U1" s="20">
        <v>49</v>
      </c>
      <c r="V1" s="20">
        <v>-5</v>
      </c>
      <c r="W1" s="20">
        <v>-15</v>
      </c>
      <c r="Y1" t="s">
        <v>94</v>
      </c>
      <c r="AG1" s="21" t="s">
        <v>234</v>
      </c>
      <c r="AH1">
        <v>0</v>
      </c>
      <c r="AI1">
        <v>0</v>
      </c>
      <c r="AJ1" s="20">
        <v>12</v>
      </c>
      <c r="AK1" s="20">
        <v>70</v>
      </c>
      <c r="AL1" s="20">
        <v>-5</v>
      </c>
      <c r="AM1" s="20">
        <v>-15</v>
      </c>
      <c r="AO1" t="s">
        <v>94</v>
      </c>
    </row>
    <row r="2" spans="1:47">
      <c r="B2">
        <f>B1+D1+8</f>
        <v>19</v>
      </c>
      <c r="C2">
        <v>0</v>
      </c>
      <c r="D2" s="20">
        <v>54</v>
      </c>
      <c r="E2" s="20">
        <v>40</v>
      </c>
      <c r="F2" s="20">
        <v>-45</v>
      </c>
      <c r="G2" s="20">
        <v>-12</v>
      </c>
      <c r="I2" t="s">
        <v>95</v>
      </c>
      <c r="R2">
        <f>R1+T1+8</f>
        <v>19</v>
      </c>
      <c r="S2">
        <v>0</v>
      </c>
      <c r="T2" s="20">
        <v>59</v>
      </c>
      <c r="U2" s="20">
        <v>44</v>
      </c>
      <c r="V2" s="20">
        <v>-49</v>
      </c>
      <c r="W2" s="20">
        <v>-16</v>
      </c>
      <c r="Y2" t="s">
        <v>95</v>
      </c>
      <c r="AG2">
        <v>250</v>
      </c>
      <c r="AH2">
        <f>AH1+AJ1+8</f>
        <v>20</v>
      </c>
      <c r="AI2">
        <v>0</v>
      </c>
      <c r="AJ2" s="20">
        <v>58</v>
      </c>
      <c r="AK2" s="20">
        <v>44</v>
      </c>
      <c r="AL2" s="20">
        <v>-49</v>
      </c>
      <c r="AM2" s="20">
        <v>-16</v>
      </c>
    </row>
    <row r="3" spans="1:47">
      <c r="B3">
        <f>B2+D2+8</f>
        <v>81</v>
      </c>
      <c r="C3">
        <v>0</v>
      </c>
      <c r="D3" s="20">
        <v>69</v>
      </c>
      <c r="E3" s="20">
        <v>15</v>
      </c>
      <c r="F3" s="20">
        <v>-54</v>
      </c>
      <c r="G3" s="20">
        <v>-10</v>
      </c>
      <c r="R3">
        <f>R2+T2+8</f>
        <v>86</v>
      </c>
      <c r="S3">
        <v>0</v>
      </c>
      <c r="T3" s="20">
        <v>72</v>
      </c>
      <c r="U3" s="20">
        <v>15</v>
      </c>
      <c r="V3" s="20">
        <v>-54</v>
      </c>
      <c r="W3" s="20">
        <v>-10</v>
      </c>
      <c r="AH3">
        <f>AH2+AJ2+8</f>
        <v>86</v>
      </c>
      <c r="AI3">
        <v>0</v>
      </c>
      <c r="AJ3" s="20">
        <v>100</v>
      </c>
      <c r="AK3" s="20">
        <v>20</v>
      </c>
      <c r="AL3" s="20">
        <v>-84</v>
      </c>
      <c r="AM3" s="20">
        <v>-14</v>
      </c>
    </row>
    <row r="4" spans="1:47">
      <c r="B4">
        <f t="shared" ref="B4:B8" si="0">B3+D3+8</f>
        <v>158</v>
      </c>
      <c r="C4">
        <v>0</v>
      </c>
      <c r="D4">
        <f>D2</f>
        <v>54</v>
      </c>
      <c r="E4">
        <f>E2</f>
        <v>40</v>
      </c>
      <c r="F4" s="20">
        <v>-41</v>
      </c>
      <c r="G4" s="20">
        <v>-29</v>
      </c>
      <c r="R4">
        <f t="shared" ref="R4:R8" si="1">R3+T3+8</f>
        <v>166</v>
      </c>
      <c r="S4">
        <v>0</v>
      </c>
      <c r="T4">
        <f>T2</f>
        <v>59</v>
      </c>
      <c r="U4">
        <f>U2</f>
        <v>44</v>
      </c>
      <c r="V4" s="20">
        <v>-44</v>
      </c>
      <c r="W4" s="20">
        <v>-33</v>
      </c>
      <c r="AH4">
        <f t="shared" ref="AH4:AH8" si="2">AH3+AJ3+8</f>
        <v>194</v>
      </c>
      <c r="AI4">
        <v>0</v>
      </c>
      <c r="AJ4">
        <f>AJ2</f>
        <v>58</v>
      </c>
      <c r="AK4">
        <f>AK2</f>
        <v>44</v>
      </c>
      <c r="AL4" s="20">
        <v>-44</v>
      </c>
      <c r="AM4" s="20">
        <v>-33</v>
      </c>
    </row>
    <row r="5" spans="1:47">
      <c r="B5">
        <f t="shared" si="0"/>
        <v>220</v>
      </c>
      <c r="C5">
        <v>0</v>
      </c>
      <c r="D5">
        <f t="shared" ref="D5:E7" si="3">D1</f>
        <v>11</v>
      </c>
      <c r="E5">
        <f t="shared" si="3"/>
        <v>49</v>
      </c>
      <c r="F5" s="20">
        <v>-6</v>
      </c>
      <c r="G5" s="20">
        <v>-32</v>
      </c>
      <c r="R5">
        <f t="shared" si="1"/>
        <v>233</v>
      </c>
      <c r="S5">
        <v>0</v>
      </c>
      <c r="T5">
        <f t="shared" ref="T5:U7" si="4">T1</f>
        <v>11</v>
      </c>
      <c r="U5">
        <f t="shared" si="4"/>
        <v>49</v>
      </c>
      <c r="V5" s="20">
        <v>-6</v>
      </c>
      <c r="W5" s="20">
        <v>-37</v>
      </c>
      <c r="AH5">
        <f t="shared" si="2"/>
        <v>260</v>
      </c>
      <c r="AI5">
        <v>0</v>
      </c>
      <c r="AJ5">
        <f t="shared" ref="AJ5:AK5" si="5">AJ1</f>
        <v>12</v>
      </c>
      <c r="AK5">
        <f t="shared" si="5"/>
        <v>70</v>
      </c>
      <c r="AL5" s="20">
        <v>-5</v>
      </c>
      <c r="AM5" s="20">
        <v>-15</v>
      </c>
    </row>
    <row r="6" spans="1:47">
      <c r="B6">
        <f t="shared" si="0"/>
        <v>239</v>
      </c>
      <c r="C6">
        <v>0</v>
      </c>
      <c r="D6">
        <f t="shared" si="3"/>
        <v>54</v>
      </c>
      <c r="E6">
        <f t="shared" si="3"/>
        <v>40</v>
      </c>
      <c r="F6" s="20">
        <v>-15</v>
      </c>
      <c r="G6" s="20">
        <v>-28</v>
      </c>
      <c r="R6">
        <f t="shared" si="1"/>
        <v>252</v>
      </c>
      <c r="S6">
        <v>0</v>
      </c>
      <c r="T6">
        <f t="shared" si="4"/>
        <v>59</v>
      </c>
      <c r="U6">
        <f t="shared" si="4"/>
        <v>44</v>
      </c>
      <c r="V6" s="20">
        <v>-14</v>
      </c>
      <c r="W6" s="20">
        <v>-33</v>
      </c>
      <c r="AH6">
        <f t="shared" si="2"/>
        <v>280</v>
      </c>
      <c r="AI6">
        <v>0</v>
      </c>
      <c r="AJ6">
        <f t="shared" ref="AJ6:AK6" si="6">AJ2</f>
        <v>58</v>
      </c>
      <c r="AK6">
        <f t="shared" si="6"/>
        <v>44</v>
      </c>
      <c r="AL6" s="20">
        <v>-14</v>
      </c>
      <c r="AM6" s="20">
        <v>-33</v>
      </c>
    </row>
    <row r="7" spans="1:47">
      <c r="B7">
        <f t="shared" si="0"/>
        <v>301</v>
      </c>
      <c r="C7">
        <v>0</v>
      </c>
      <c r="D7">
        <f t="shared" si="3"/>
        <v>69</v>
      </c>
      <c r="E7">
        <f t="shared" si="3"/>
        <v>15</v>
      </c>
      <c r="F7" s="20">
        <v>-11</v>
      </c>
      <c r="G7" s="20">
        <v>-9</v>
      </c>
      <c r="R7">
        <f t="shared" si="1"/>
        <v>319</v>
      </c>
      <c r="S7">
        <v>0</v>
      </c>
      <c r="T7">
        <f t="shared" si="4"/>
        <v>72</v>
      </c>
      <c r="U7">
        <f t="shared" si="4"/>
        <v>15</v>
      </c>
      <c r="V7" s="20">
        <v>-11</v>
      </c>
      <c r="W7" s="20">
        <v>-9</v>
      </c>
      <c r="AH7">
        <f t="shared" si="2"/>
        <v>346</v>
      </c>
      <c r="AI7">
        <v>0</v>
      </c>
      <c r="AJ7">
        <f t="shared" ref="AJ7:AK7" si="7">AJ3</f>
        <v>100</v>
      </c>
      <c r="AK7">
        <f t="shared" si="7"/>
        <v>20</v>
      </c>
      <c r="AL7" s="20">
        <v>-16</v>
      </c>
      <c r="AM7" s="20">
        <v>-14</v>
      </c>
    </row>
    <row r="8" spans="1:47">
      <c r="B8">
        <f t="shared" si="0"/>
        <v>378</v>
      </c>
      <c r="C8">
        <v>0</v>
      </c>
      <c r="D8">
        <f>D2</f>
        <v>54</v>
      </c>
      <c r="E8">
        <f>E2</f>
        <v>40</v>
      </c>
      <c r="F8" s="20">
        <v>-8</v>
      </c>
      <c r="G8" s="20">
        <v>-14</v>
      </c>
      <c r="R8">
        <f t="shared" si="1"/>
        <v>399</v>
      </c>
      <c r="S8">
        <v>0</v>
      </c>
      <c r="T8">
        <f>T2</f>
        <v>59</v>
      </c>
      <c r="U8">
        <f>U2</f>
        <v>44</v>
      </c>
      <c r="V8" s="20">
        <v>-8</v>
      </c>
      <c r="W8" s="20">
        <v>-14</v>
      </c>
      <c r="AH8">
        <f t="shared" si="2"/>
        <v>454</v>
      </c>
      <c r="AI8">
        <v>0</v>
      </c>
      <c r="AJ8">
        <f>AJ2</f>
        <v>58</v>
      </c>
      <c r="AK8">
        <f>AK2</f>
        <v>44</v>
      </c>
      <c r="AL8" s="20">
        <v>-8</v>
      </c>
      <c r="AM8" s="20">
        <v>-14</v>
      </c>
    </row>
    <row r="10" spans="1:47">
      <c r="A10" t="s">
        <v>93</v>
      </c>
      <c r="B10">
        <f>B1+107</f>
        <v>107</v>
      </c>
      <c r="C10">
        <f>C1</f>
        <v>0</v>
      </c>
      <c r="D10">
        <f t="shared" ref="D10:G10" si="8">D1</f>
        <v>11</v>
      </c>
      <c r="E10">
        <f t="shared" si="8"/>
        <v>49</v>
      </c>
      <c r="F10">
        <f t="shared" si="8"/>
        <v>-5</v>
      </c>
      <c r="G10">
        <f t="shared" si="8"/>
        <v>-13</v>
      </c>
      <c r="I10" t="str">
        <f>"[" &amp; B10 &amp; ","</f>
        <v>[107,</v>
      </c>
      <c r="J10" t="str">
        <f>C10 &amp; ","</f>
        <v>0,</v>
      </c>
      <c r="K10" t="str">
        <f t="shared" ref="K10:N10" si="9">D10 &amp; ","</f>
        <v>11,</v>
      </c>
      <c r="L10" t="str">
        <f t="shared" si="9"/>
        <v>49,</v>
      </c>
      <c r="M10" t="str">
        <f t="shared" si="9"/>
        <v>-5,</v>
      </c>
      <c r="N10" t="str">
        <f t="shared" si="9"/>
        <v>-13,</v>
      </c>
      <c r="O10" t="s">
        <v>91</v>
      </c>
      <c r="Q10" t="s">
        <v>93</v>
      </c>
      <c r="R10">
        <f>R1+107</f>
        <v>107</v>
      </c>
      <c r="S10">
        <f>S1</f>
        <v>0</v>
      </c>
      <c r="T10">
        <f t="shared" ref="T10:W10" si="10">T1</f>
        <v>11</v>
      </c>
      <c r="U10">
        <f t="shared" si="10"/>
        <v>49</v>
      </c>
      <c r="V10">
        <f t="shared" si="10"/>
        <v>-5</v>
      </c>
      <c r="W10">
        <f t="shared" si="10"/>
        <v>-15</v>
      </c>
      <c r="Y10" t="str">
        <f>"[" &amp; R10 &amp; ","</f>
        <v>[107,</v>
      </c>
      <c r="Z10" t="str">
        <f>S10 &amp; ","</f>
        <v>0,</v>
      </c>
      <c r="AA10" t="str">
        <f t="shared" ref="AA10:AA17" si="11">T10 &amp; ","</f>
        <v>11,</v>
      </c>
      <c r="AB10" t="str">
        <f t="shared" ref="AB10:AB17" si="12">U10 &amp; ","</f>
        <v>49,</v>
      </c>
      <c r="AC10" t="str">
        <f t="shared" ref="AC10:AC17" si="13">V10 &amp; ","</f>
        <v>-5,</v>
      </c>
      <c r="AD10" t="str">
        <f t="shared" ref="AD10:AD17" si="14">W10 &amp; ","</f>
        <v>-15,</v>
      </c>
      <c r="AE10" t="s">
        <v>91</v>
      </c>
      <c r="AG10" t="s">
        <v>93</v>
      </c>
      <c r="AH10">
        <f>AH1+0</f>
        <v>0</v>
      </c>
      <c r="AI10">
        <f>AI1</f>
        <v>0</v>
      </c>
      <c r="AJ10">
        <f t="shared" ref="AJ10:AM10" si="15">AJ1</f>
        <v>12</v>
      </c>
      <c r="AK10">
        <f t="shared" si="15"/>
        <v>70</v>
      </c>
      <c r="AL10">
        <f t="shared" si="15"/>
        <v>-5</v>
      </c>
      <c r="AM10">
        <f t="shared" si="15"/>
        <v>-15</v>
      </c>
      <c r="AN10" s="22"/>
      <c r="AO10" s="22" t="str">
        <f>"[" &amp; AH10 &amp; ","</f>
        <v>[0,</v>
      </c>
      <c r="AP10" s="22" t="str">
        <f>AI10 &amp; ","</f>
        <v>0,</v>
      </c>
      <c r="AQ10" s="22" t="str">
        <f t="shared" ref="AQ10:AQ17" si="16">AJ10 &amp; ","</f>
        <v>12,</v>
      </c>
      <c r="AR10" s="22" t="str">
        <f t="shared" ref="AR10:AR17" si="17">AK10 &amp; ","</f>
        <v>70,</v>
      </c>
      <c r="AS10" s="22" t="str">
        <f t="shared" ref="AS10:AS17" si="18">AL10 &amp; ","</f>
        <v>-5,</v>
      </c>
      <c r="AT10" s="22" t="str">
        <f t="shared" ref="AT10:AT17" si="19">AM10 &amp; ","</f>
        <v>-15,</v>
      </c>
      <c r="AU10" s="22" t="s">
        <v>91</v>
      </c>
    </row>
    <row r="11" spans="1:47">
      <c r="B11">
        <f>B10+D10+8</f>
        <v>126</v>
      </c>
      <c r="C11">
        <f t="shared" ref="C11:G11" si="20">C2</f>
        <v>0</v>
      </c>
      <c r="D11">
        <f t="shared" si="20"/>
        <v>54</v>
      </c>
      <c r="E11">
        <f t="shared" si="20"/>
        <v>40</v>
      </c>
      <c r="F11">
        <f t="shared" si="20"/>
        <v>-45</v>
      </c>
      <c r="G11">
        <f t="shared" si="20"/>
        <v>-12</v>
      </c>
      <c r="I11" t="str">
        <f t="shared" ref="I11:I17" si="21">"[" &amp; B11 &amp; ","</f>
        <v>[126,</v>
      </c>
      <c r="J11" t="str">
        <f t="shared" ref="J11:J17" si="22">C11 &amp; ","</f>
        <v>0,</v>
      </c>
      <c r="K11" t="str">
        <f t="shared" ref="K11:K17" si="23">D11 &amp; ","</f>
        <v>54,</v>
      </c>
      <c r="L11" t="str">
        <f t="shared" ref="L11:L17" si="24">E11 &amp; ","</f>
        <v>40,</v>
      </c>
      <c r="M11" t="str">
        <f t="shared" ref="M11:M17" si="25">F11 &amp; ","</f>
        <v>-45,</v>
      </c>
      <c r="N11" t="str">
        <f t="shared" ref="N11:N17" si="26">G11 &amp; ","</f>
        <v>-12,</v>
      </c>
      <c r="O11" t="s">
        <v>91</v>
      </c>
      <c r="R11">
        <f>R10+T10+8</f>
        <v>126</v>
      </c>
      <c r="S11">
        <f t="shared" ref="S11:W11" si="27">S2</f>
        <v>0</v>
      </c>
      <c r="T11">
        <f t="shared" si="27"/>
        <v>59</v>
      </c>
      <c r="U11">
        <f t="shared" si="27"/>
        <v>44</v>
      </c>
      <c r="V11">
        <f t="shared" si="27"/>
        <v>-49</v>
      </c>
      <c r="W11">
        <f t="shared" si="27"/>
        <v>-16</v>
      </c>
      <c r="Y11" t="str">
        <f t="shared" ref="Y11:Y17" si="28">"[" &amp; R11 &amp; ","</f>
        <v>[126,</v>
      </c>
      <c r="Z11" t="str">
        <f t="shared" ref="Z11:Z17" si="29">S11 &amp; ","</f>
        <v>0,</v>
      </c>
      <c r="AA11" t="str">
        <f t="shared" si="11"/>
        <v>59,</v>
      </c>
      <c r="AB11" t="str">
        <f t="shared" si="12"/>
        <v>44,</v>
      </c>
      <c r="AC11" t="str">
        <f t="shared" si="13"/>
        <v>-49,</v>
      </c>
      <c r="AD11" t="str">
        <f t="shared" si="14"/>
        <v>-16,</v>
      </c>
      <c r="AE11" t="s">
        <v>91</v>
      </c>
      <c r="AH11">
        <f>AH10+AJ10+8</f>
        <v>20</v>
      </c>
      <c r="AI11">
        <f t="shared" ref="AI11:AM11" si="30">AI2</f>
        <v>0</v>
      </c>
      <c r="AJ11">
        <f t="shared" si="30"/>
        <v>58</v>
      </c>
      <c r="AK11">
        <f t="shared" si="30"/>
        <v>44</v>
      </c>
      <c r="AL11">
        <f t="shared" si="30"/>
        <v>-49</v>
      </c>
      <c r="AM11">
        <f t="shared" si="30"/>
        <v>-16</v>
      </c>
      <c r="AN11" s="22"/>
      <c r="AO11" s="22" t="str">
        <f t="shared" ref="AO11:AO17" si="31">"[" &amp; AH11 &amp; ","</f>
        <v>[20,</v>
      </c>
      <c r="AP11" s="22" t="str">
        <f t="shared" ref="AP11:AP17" si="32">AI11 &amp; ","</f>
        <v>0,</v>
      </c>
      <c r="AQ11" s="22" t="str">
        <f t="shared" si="16"/>
        <v>58,</v>
      </c>
      <c r="AR11" s="22" t="str">
        <f t="shared" si="17"/>
        <v>44,</v>
      </c>
      <c r="AS11" s="22" t="str">
        <f t="shared" si="18"/>
        <v>-49,</v>
      </c>
      <c r="AT11" s="22" t="str">
        <f t="shared" si="19"/>
        <v>-16,</v>
      </c>
      <c r="AU11" s="22" t="s">
        <v>91</v>
      </c>
    </row>
    <row r="12" spans="1:47">
      <c r="B12">
        <f t="shared" ref="B12:B17" si="33">B11+D11+8</f>
        <v>188</v>
      </c>
      <c r="C12">
        <f t="shared" ref="C12:G12" si="34">C3</f>
        <v>0</v>
      </c>
      <c r="D12">
        <f t="shared" si="34"/>
        <v>69</v>
      </c>
      <c r="E12">
        <f t="shared" si="34"/>
        <v>15</v>
      </c>
      <c r="F12">
        <f t="shared" si="34"/>
        <v>-54</v>
      </c>
      <c r="G12">
        <f t="shared" si="34"/>
        <v>-10</v>
      </c>
      <c r="I12" t="str">
        <f t="shared" si="21"/>
        <v>[188,</v>
      </c>
      <c r="J12" t="str">
        <f t="shared" si="22"/>
        <v>0,</v>
      </c>
      <c r="K12" t="str">
        <f t="shared" si="23"/>
        <v>69,</v>
      </c>
      <c r="L12" t="str">
        <f t="shared" si="24"/>
        <v>15,</v>
      </c>
      <c r="M12" t="str">
        <f t="shared" si="25"/>
        <v>-54,</v>
      </c>
      <c r="N12" t="str">
        <f t="shared" si="26"/>
        <v>-10,</v>
      </c>
      <c r="O12" t="s">
        <v>91</v>
      </c>
      <c r="R12">
        <f t="shared" ref="R12:R17" si="35">R11+T11+8</f>
        <v>193</v>
      </c>
      <c r="S12">
        <f t="shared" ref="S12:W12" si="36">S3</f>
        <v>0</v>
      </c>
      <c r="T12">
        <f t="shared" si="36"/>
        <v>72</v>
      </c>
      <c r="U12">
        <f t="shared" si="36"/>
        <v>15</v>
      </c>
      <c r="V12">
        <f t="shared" si="36"/>
        <v>-54</v>
      </c>
      <c r="W12">
        <f t="shared" si="36"/>
        <v>-10</v>
      </c>
      <c r="Y12" t="str">
        <f t="shared" si="28"/>
        <v>[193,</v>
      </c>
      <c r="Z12" t="str">
        <f t="shared" si="29"/>
        <v>0,</v>
      </c>
      <c r="AA12" t="str">
        <f t="shared" si="11"/>
        <v>72,</v>
      </c>
      <c r="AB12" t="str">
        <f t="shared" si="12"/>
        <v>15,</v>
      </c>
      <c r="AC12" t="str">
        <f t="shared" si="13"/>
        <v>-54,</v>
      </c>
      <c r="AD12" t="str">
        <f t="shared" si="14"/>
        <v>-10,</v>
      </c>
      <c r="AE12" t="s">
        <v>91</v>
      </c>
      <c r="AH12">
        <f t="shared" ref="AH12:AH17" si="37">AH11+AJ11+8</f>
        <v>86</v>
      </c>
      <c r="AI12">
        <f t="shared" ref="AI12:AM12" si="38">AI3</f>
        <v>0</v>
      </c>
      <c r="AJ12">
        <f t="shared" si="38"/>
        <v>100</v>
      </c>
      <c r="AK12">
        <f t="shared" si="38"/>
        <v>20</v>
      </c>
      <c r="AL12">
        <f t="shared" si="38"/>
        <v>-84</v>
      </c>
      <c r="AM12">
        <f t="shared" si="38"/>
        <v>-14</v>
      </c>
      <c r="AN12" s="22"/>
      <c r="AO12" s="22" t="str">
        <f t="shared" si="31"/>
        <v>[86,</v>
      </c>
      <c r="AP12" s="22" t="str">
        <f t="shared" si="32"/>
        <v>0,</v>
      </c>
      <c r="AQ12" s="22" t="str">
        <f t="shared" si="16"/>
        <v>100,</v>
      </c>
      <c r="AR12" s="22" t="str">
        <f t="shared" si="17"/>
        <v>20,</v>
      </c>
      <c r="AS12" s="22" t="str">
        <f t="shared" si="18"/>
        <v>-84,</v>
      </c>
      <c r="AT12" s="22" t="str">
        <f t="shared" si="19"/>
        <v>-14,</v>
      </c>
      <c r="AU12" s="22" t="s">
        <v>91</v>
      </c>
    </row>
    <row r="13" spans="1:47">
      <c r="B13">
        <f t="shared" si="33"/>
        <v>265</v>
      </c>
      <c r="C13">
        <f t="shared" ref="C13:G13" si="39">C4</f>
        <v>0</v>
      </c>
      <c r="D13">
        <f t="shared" si="39"/>
        <v>54</v>
      </c>
      <c r="E13">
        <f t="shared" si="39"/>
        <v>40</v>
      </c>
      <c r="F13">
        <f t="shared" si="39"/>
        <v>-41</v>
      </c>
      <c r="G13">
        <f t="shared" si="39"/>
        <v>-29</v>
      </c>
      <c r="I13" t="str">
        <f t="shared" si="21"/>
        <v>[265,</v>
      </c>
      <c r="J13" t="str">
        <f t="shared" si="22"/>
        <v>0,</v>
      </c>
      <c r="K13" t="str">
        <f t="shared" si="23"/>
        <v>54,</v>
      </c>
      <c r="L13" t="str">
        <f t="shared" si="24"/>
        <v>40,</v>
      </c>
      <c r="M13" t="str">
        <f t="shared" si="25"/>
        <v>-41,</v>
      </c>
      <c r="N13" t="str">
        <f t="shared" si="26"/>
        <v>-29,</v>
      </c>
      <c r="O13" t="s">
        <v>91</v>
      </c>
      <c r="R13">
        <f t="shared" si="35"/>
        <v>273</v>
      </c>
      <c r="S13">
        <f t="shared" ref="S13:W13" si="40">S4</f>
        <v>0</v>
      </c>
      <c r="T13">
        <f t="shared" si="40"/>
        <v>59</v>
      </c>
      <c r="U13">
        <f t="shared" si="40"/>
        <v>44</v>
      </c>
      <c r="V13">
        <f t="shared" si="40"/>
        <v>-44</v>
      </c>
      <c r="W13">
        <f t="shared" si="40"/>
        <v>-33</v>
      </c>
      <c r="Y13" t="str">
        <f t="shared" si="28"/>
        <v>[273,</v>
      </c>
      <c r="Z13" t="str">
        <f t="shared" si="29"/>
        <v>0,</v>
      </c>
      <c r="AA13" t="str">
        <f t="shared" si="11"/>
        <v>59,</v>
      </c>
      <c r="AB13" t="str">
        <f t="shared" si="12"/>
        <v>44,</v>
      </c>
      <c r="AC13" t="str">
        <f t="shared" si="13"/>
        <v>-44,</v>
      </c>
      <c r="AD13" t="str">
        <f t="shared" si="14"/>
        <v>-33,</v>
      </c>
      <c r="AE13" t="s">
        <v>91</v>
      </c>
      <c r="AH13">
        <f t="shared" si="37"/>
        <v>194</v>
      </c>
      <c r="AI13">
        <f t="shared" ref="AI13:AM13" si="41">AI4</f>
        <v>0</v>
      </c>
      <c r="AJ13">
        <f t="shared" si="41"/>
        <v>58</v>
      </c>
      <c r="AK13">
        <f t="shared" si="41"/>
        <v>44</v>
      </c>
      <c r="AL13">
        <f t="shared" si="41"/>
        <v>-44</v>
      </c>
      <c r="AM13">
        <f t="shared" si="41"/>
        <v>-33</v>
      </c>
      <c r="AN13" s="22"/>
      <c r="AO13" s="22" t="str">
        <f t="shared" si="31"/>
        <v>[194,</v>
      </c>
      <c r="AP13" s="22" t="str">
        <f t="shared" si="32"/>
        <v>0,</v>
      </c>
      <c r="AQ13" s="22" t="str">
        <f t="shared" si="16"/>
        <v>58,</v>
      </c>
      <c r="AR13" s="22" t="str">
        <f t="shared" si="17"/>
        <v>44,</v>
      </c>
      <c r="AS13" s="22" t="str">
        <f t="shared" si="18"/>
        <v>-44,</v>
      </c>
      <c r="AT13" s="22" t="str">
        <f t="shared" si="19"/>
        <v>-33,</v>
      </c>
      <c r="AU13" s="22" t="s">
        <v>91</v>
      </c>
    </row>
    <row r="14" spans="1:47">
      <c r="B14">
        <f t="shared" si="33"/>
        <v>327</v>
      </c>
      <c r="C14">
        <f t="shared" ref="C14:G14" si="42">C5</f>
        <v>0</v>
      </c>
      <c r="D14">
        <f t="shared" si="42"/>
        <v>11</v>
      </c>
      <c r="E14">
        <f t="shared" si="42"/>
        <v>49</v>
      </c>
      <c r="F14">
        <f t="shared" si="42"/>
        <v>-6</v>
      </c>
      <c r="G14">
        <f t="shared" si="42"/>
        <v>-32</v>
      </c>
      <c r="I14" t="str">
        <f t="shared" si="21"/>
        <v>[327,</v>
      </c>
      <c r="J14" t="str">
        <f t="shared" si="22"/>
        <v>0,</v>
      </c>
      <c r="K14" t="str">
        <f t="shared" si="23"/>
        <v>11,</v>
      </c>
      <c r="L14" t="str">
        <f t="shared" si="24"/>
        <v>49,</v>
      </c>
      <c r="M14" t="str">
        <f t="shared" si="25"/>
        <v>-6,</v>
      </c>
      <c r="N14" t="str">
        <f t="shared" si="26"/>
        <v>-32,</v>
      </c>
      <c r="O14" t="s">
        <v>91</v>
      </c>
      <c r="R14">
        <f t="shared" si="35"/>
        <v>340</v>
      </c>
      <c r="S14">
        <f t="shared" ref="S14:W14" si="43">S5</f>
        <v>0</v>
      </c>
      <c r="T14">
        <f t="shared" si="43"/>
        <v>11</v>
      </c>
      <c r="U14">
        <f t="shared" si="43"/>
        <v>49</v>
      </c>
      <c r="V14">
        <f t="shared" si="43"/>
        <v>-6</v>
      </c>
      <c r="W14">
        <f t="shared" si="43"/>
        <v>-37</v>
      </c>
      <c r="Y14" t="str">
        <f t="shared" si="28"/>
        <v>[340,</v>
      </c>
      <c r="Z14" t="str">
        <f t="shared" si="29"/>
        <v>0,</v>
      </c>
      <c r="AA14" t="str">
        <f t="shared" si="11"/>
        <v>11,</v>
      </c>
      <c r="AB14" t="str">
        <f t="shared" si="12"/>
        <v>49,</v>
      </c>
      <c r="AC14" t="str">
        <f t="shared" si="13"/>
        <v>-6,</v>
      </c>
      <c r="AD14" t="str">
        <f t="shared" si="14"/>
        <v>-37,</v>
      </c>
      <c r="AE14" t="s">
        <v>91</v>
      </c>
      <c r="AH14">
        <f t="shared" si="37"/>
        <v>260</v>
      </c>
      <c r="AI14">
        <f t="shared" ref="AI14:AM14" si="44">AI5</f>
        <v>0</v>
      </c>
      <c r="AJ14">
        <f t="shared" si="44"/>
        <v>12</v>
      </c>
      <c r="AK14">
        <f t="shared" si="44"/>
        <v>70</v>
      </c>
      <c r="AL14">
        <f t="shared" si="44"/>
        <v>-5</v>
      </c>
      <c r="AM14">
        <f t="shared" si="44"/>
        <v>-15</v>
      </c>
      <c r="AN14" s="22"/>
      <c r="AO14" s="22" t="str">
        <f t="shared" si="31"/>
        <v>[260,</v>
      </c>
      <c r="AP14" s="22" t="str">
        <f t="shared" si="32"/>
        <v>0,</v>
      </c>
      <c r="AQ14" s="22" t="str">
        <f t="shared" si="16"/>
        <v>12,</v>
      </c>
      <c r="AR14" s="22" t="str">
        <f t="shared" si="17"/>
        <v>70,</v>
      </c>
      <c r="AS14" s="22" t="str">
        <f t="shared" si="18"/>
        <v>-5,</v>
      </c>
      <c r="AT14" s="22" t="str">
        <f t="shared" si="19"/>
        <v>-15,</v>
      </c>
      <c r="AU14" s="22" t="s">
        <v>91</v>
      </c>
    </row>
    <row r="15" spans="1:47">
      <c r="B15">
        <f t="shared" si="33"/>
        <v>346</v>
      </c>
      <c r="C15">
        <f t="shared" ref="C15:G15" si="45">C6</f>
        <v>0</v>
      </c>
      <c r="D15">
        <f t="shared" si="45"/>
        <v>54</v>
      </c>
      <c r="E15">
        <f t="shared" si="45"/>
        <v>40</v>
      </c>
      <c r="F15">
        <f t="shared" si="45"/>
        <v>-15</v>
      </c>
      <c r="G15">
        <f t="shared" si="45"/>
        <v>-28</v>
      </c>
      <c r="I15" t="str">
        <f t="shared" si="21"/>
        <v>[346,</v>
      </c>
      <c r="J15" t="str">
        <f t="shared" si="22"/>
        <v>0,</v>
      </c>
      <c r="K15" t="str">
        <f t="shared" si="23"/>
        <v>54,</v>
      </c>
      <c r="L15" t="str">
        <f t="shared" si="24"/>
        <v>40,</v>
      </c>
      <c r="M15" t="str">
        <f t="shared" si="25"/>
        <v>-15,</v>
      </c>
      <c r="N15" t="str">
        <f t="shared" si="26"/>
        <v>-28,</v>
      </c>
      <c r="O15" t="s">
        <v>91</v>
      </c>
      <c r="R15">
        <f t="shared" si="35"/>
        <v>359</v>
      </c>
      <c r="S15">
        <f t="shared" ref="S15:W15" si="46">S6</f>
        <v>0</v>
      </c>
      <c r="T15">
        <f t="shared" si="46"/>
        <v>59</v>
      </c>
      <c r="U15">
        <f t="shared" si="46"/>
        <v>44</v>
      </c>
      <c r="V15">
        <f t="shared" si="46"/>
        <v>-14</v>
      </c>
      <c r="W15">
        <f t="shared" si="46"/>
        <v>-33</v>
      </c>
      <c r="Y15" t="str">
        <f t="shared" si="28"/>
        <v>[359,</v>
      </c>
      <c r="Z15" t="str">
        <f t="shared" si="29"/>
        <v>0,</v>
      </c>
      <c r="AA15" t="str">
        <f t="shared" si="11"/>
        <v>59,</v>
      </c>
      <c r="AB15" t="str">
        <f t="shared" si="12"/>
        <v>44,</v>
      </c>
      <c r="AC15" t="str">
        <f t="shared" si="13"/>
        <v>-14,</v>
      </c>
      <c r="AD15" t="str">
        <f t="shared" si="14"/>
        <v>-33,</v>
      </c>
      <c r="AE15" t="s">
        <v>91</v>
      </c>
      <c r="AH15">
        <f t="shared" si="37"/>
        <v>280</v>
      </c>
      <c r="AI15">
        <f t="shared" ref="AI15:AM15" si="47">AI6</f>
        <v>0</v>
      </c>
      <c r="AJ15">
        <f t="shared" si="47"/>
        <v>58</v>
      </c>
      <c r="AK15">
        <f t="shared" si="47"/>
        <v>44</v>
      </c>
      <c r="AL15">
        <f t="shared" si="47"/>
        <v>-14</v>
      </c>
      <c r="AM15">
        <f t="shared" si="47"/>
        <v>-33</v>
      </c>
      <c r="AN15" s="22"/>
      <c r="AO15" s="22" t="str">
        <f t="shared" si="31"/>
        <v>[280,</v>
      </c>
      <c r="AP15" s="22" t="str">
        <f t="shared" si="32"/>
        <v>0,</v>
      </c>
      <c r="AQ15" s="22" t="str">
        <f t="shared" si="16"/>
        <v>58,</v>
      </c>
      <c r="AR15" s="22" t="str">
        <f t="shared" si="17"/>
        <v>44,</v>
      </c>
      <c r="AS15" s="22" t="str">
        <f t="shared" si="18"/>
        <v>-14,</v>
      </c>
      <c r="AT15" s="22" t="str">
        <f t="shared" si="19"/>
        <v>-33,</v>
      </c>
      <c r="AU15" s="22" t="s">
        <v>91</v>
      </c>
    </row>
    <row r="16" spans="1:47">
      <c r="B16">
        <f t="shared" si="33"/>
        <v>408</v>
      </c>
      <c r="C16">
        <f t="shared" ref="C16:G16" si="48">C7</f>
        <v>0</v>
      </c>
      <c r="D16">
        <f t="shared" si="48"/>
        <v>69</v>
      </c>
      <c r="E16">
        <f t="shared" si="48"/>
        <v>15</v>
      </c>
      <c r="F16">
        <f t="shared" si="48"/>
        <v>-11</v>
      </c>
      <c r="G16">
        <f t="shared" si="48"/>
        <v>-9</v>
      </c>
      <c r="I16" t="str">
        <f t="shared" si="21"/>
        <v>[408,</v>
      </c>
      <c r="J16" t="str">
        <f t="shared" si="22"/>
        <v>0,</v>
      </c>
      <c r="K16" t="str">
        <f t="shared" si="23"/>
        <v>69,</v>
      </c>
      <c r="L16" t="str">
        <f t="shared" si="24"/>
        <v>15,</v>
      </c>
      <c r="M16" t="str">
        <f t="shared" si="25"/>
        <v>-11,</v>
      </c>
      <c r="N16" t="str">
        <f t="shared" si="26"/>
        <v>-9,</v>
      </c>
      <c r="O16" t="s">
        <v>91</v>
      </c>
      <c r="R16">
        <f t="shared" si="35"/>
        <v>426</v>
      </c>
      <c r="S16">
        <f t="shared" ref="S16:W16" si="49">S7</f>
        <v>0</v>
      </c>
      <c r="T16">
        <f t="shared" si="49"/>
        <v>72</v>
      </c>
      <c r="U16">
        <f t="shared" si="49"/>
        <v>15</v>
      </c>
      <c r="V16">
        <f t="shared" si="49"/>
        <v>-11</v>
      </c>
      <c r="W16">
        <f t="shared" si="49"/>
        <v>-9</v>
      </c>
      <c r="Y16" t="str">
        <f t="shared" si="28"/>
        <v>[426,</v>
      </c>
      <c r="Z16" t="str">
        <f t="shared" si="29"/>
        <v>0,</v>
      </c>
      <c r="AA16" t="str">
        <f t="shared" si="11"/>
        <v>72,</v>
      </c>
      <c r="AB16" t="str">
        <f t="shared" si="12"/>
        <v>15,</v>
      </c>
      <c r="AC16" t="str">
        <f t="shared" si="13"/>
        <v>-11,</v>
      </c>
      <c r="AD16" t="str">
        <f t="shared" si="14"/>
        <v>-9,</v>
      </c>
      <c r="AE16" t="s">
        <v>91</v>
      </c>
      <c r="AH16">
        <f t="shared" si="37"/>
        <v>346</v>
      </c>
      <c r="AI16">
        <f t="shared" ref="AI16:AM16" si="50">AI7</f>
        <v>0</v>
      </c>
      <c r="AJ16">
        <f t="shared" si="50"/>
        <v>100</v>
      </c>
      <c r="AK16">
        <f t="shared" si="50"/>
        <v>20</v>
      </c>
      <c r="AL16">
        <f t="shared" si="50"/>
        <v>-16</v>
      </c>
      <c r="AM16">
        <f t="shared" si="50"/>
        <v>-14</v>
      </c>
      <c r="AN16" s="22"/>
      <c r="AO16" s="22" t="str">
        <f t="shared" si="31"/>
        <v>[346,</v>
      </c>
      <c r="AP16" s="22" t="str">
        <f t="shared" si="32"/>
        <v>0,</v>
      </c>
      <c r="AQ16" s="22" t="str">
        <f t="shared" si="16"/>
        <v>100,</v>
      </c>
      <c r="AR16" s="22" t="str">
        <f t="shared" si="17"/>
        <v>20,</v>
      </c>
      <c r="AS16" s="22" t="str">
        <f t="shared" si="18"/>
        <v>-16,</v>
      </c>
      <c r="AT16" s="22" t="str">
        <f t="shared" si="19"/>
        <v>-14,</v>
      </c>
      <c r="AU16" s="22" t="s">
        <v>91</v>
      </c>
    </row>
    <row r="17" spans="1:47">
      <c r="B17">
        <f t="shared" si="33"/>
        <v>485</v>
      </c>
      <c r="C17">
        <f t="shared" ref="C17:G17" si="51">C8</f>
        <v>0</v>
      </c>
      <c r="D17">
        <f t="shared" si="51"/>
        <v>54</v>
      </c>
      <c r="E17">
        <f t="shared" si="51"/>
        <v>40</v>
      </c>
      <c r="F17">
        <f t="shared" si="51"/>
        <v>-8</v>
      </c>
      <c r="G17">
        <f t="shared" si="51"/>
        <v>-14</v>
      </c>
      <c r="I17" t="str">
        <f t="shared" si="21"/>
        <v>[485,</v>
      </c>
      <c r="J17" t="str">
        <f t="shared" si="22"/>
        <v>0,</v>
      </c>
      <c r="K17" t="str">
        <f t="shared" si="23"/>
        <v>54,</v>
      </c>
      <c r="L17" t="str">
        <f t="shared" si="24"/>
        <v>40,</v>
      </c>
      <c r="M17" t="str">
        <f t="shared" si="25"/>
        <v>-8,</v>
      </c>
      <c r="N17" t="str">
        <f t="shared" si="26"/>
        <v>-14,</v>
      </c>
      <c r="O17" t="s">
        <v>91</v>
      </c>
      <c r="R17">
        <f t="shared" si="35"/>
        <v>506</v>
      </c>
      <c r="S17">
        <f t="shared" ref="S17:W17" si="52">S8</f>
        <v>0</v>
      </c>
      <c r="T17">
        <f t="shared" si="52"/>
        <v>59</v>
      </c>
      <c r="U17">
        <f t="shared" si="52"/>
        <v>44</v>
      </c>
      <c r="V17">
        <f t="shared" si="52"/>
        <v>-8</v>
      </c>
      <c r="W17">
        <f t="shared" si="52"/>
        <v>-14</v>
      </c>
      <c r="Y17" t="str">
        <f t="shared" si="28"/>
        <v>[506,</v>
      </c>
      <c r="Z17" t="str">
        <f t="shared" si="29"/>
        <v>0,</v>
      </c>
      <c r="AA17" t="str">
        <f t="shared" si="11"/>
        <v>59,</v>
      </c>
      <c r="AB17" t="str">
        <f t="shared" si="12"/>
        <v>44,</v>
      </c>
      <c r="AC17" t="str">
        <f t="shared" si="13"/>
        <v>-8,</v>
      </c>
      <c r="AD17" t="str">
        <f t="shared" si="14"/>
        <v>-14,</v>
      </c>
      <c r="AE17" t="s">
        <v>91</v>
      </c>
      <c r="AH17">
        <f t="shared" si="37"/>
        <v>454</v>
      </c>
      <c r="AI17">
        <f t="shared" ref="AI17:AM17" si="53">AI8</f>
        <v>0</v>
      </c>
      <c r="AJ17">
        <f t="shared" si="53"/>
        <v>58</v>
      </c>
      <c r="AK17">
        <f t="shared" si="53"/>
        <v>44</v>
      </c>
      <c r="AL17">
        <f t="shared" si="53"/>
        <v>-8</v>
      </c>
      <c r="AM17">
        <f t="shared" si="53"/>
        <v>-14</v>
      </c>
      <c r="AN17" s="22"/>
      <c r="AO17" s="22" t="str">
        <f t="shared" si="31"/>
        <v>[454,</v>
      </c>
      <c r="AP17" s="22" t="str">
        <f t="shared" si="32"/>
        <v>0,</v>
      </c>
      <c r="AQ17" s="22" t="str">
        <f t="shared" si="16"/>
        <v>58,</v>
      </c>
      <c r="AR17" s="22" t="str">
        <f t="shared" si="17"/>
        <v>44,</v>
      </c>
      <c r="AS17" s="22" t="str">
        <f t="shared" si="18"/>
        <v>-8,</v>
      </c>
      <c r="AT17" s="22" t="str">
        <f t="shared" si="19"/>
        <v>-14,</v>
      </c>
      <c r="AU17" s="22" t="s">
        <v>91</v>
      </c>
    </row>
    <row r="18" spans="1:47">
      <c r="AN18" s="22"/>
      <c r="AO18" s="22"/>
      <c r="AP18" s="22"/>
      <c r="AQ18" s="22"/>
      <c r="AR18" s="22"/>
      <c r="AS18" s="22"/>
      <c r="AT18" s="22"/>
      <c r="AU18" s="22"/>
    </row>
    <row r="19" spans="1:47">
      <c r="A19" t="s">
        <v>96</v>
      </c>
      <c r="B19">
        <f>B17+D17+8</f>
        <v>547</v>
      </c>
      <c r="C19">
        <f>C10</f>
        <v>0</v>
      </c>
      <c r="D19">
        <f>D10*2</f>
        <v>22</v>
      </c>
      <c r="E19">
        <f t="shared" ref="E19:G19" si="54">E10*2</f>
        <v>98</v>
      </c>
      <c r="F19">
        <f t="shared" si="54"/>
        <v>-10</v>
      </c>
      <c r="G19">
        <f t="shared" si="54"/>
        <v>-26</v>
      </c>
      <c r="I19" t="str">
        <f>"[" &amp; B19 &amp; ","</f>
        <v>[547,</v>
      </c>
      <c r="J19" t="str">
        <f>C19 &amp; ","</f>
        <v>0,</v>
      </c>
      <c r="K19" t="str">
        <f t="shared" ref="K19:K26" si="55">D19 &amp; ","</f>
        <v>22,</v>
      </c>
      <c r="L19" t="str">
        <f t="shared" ref="L19:L26" si="56">E19 &amp; ","</f>
        <v>98,</v>
      </c>
      <c r="M19" t="str">
        <f t="shared" ref="M19:M26" si="57">F19 &amp; ","</f>
        <v>-10,</v>
      </c>
      <c r="N19" t="str">
        <f t="shared" ref="N19:N26" si="58">G19 &amp; ","</f>
        <v>-26,</v>
      </c>
      <c r="O19" t="s">
        <v>91</v>
      </c>
      <c r="Q19" t="s">
        <v>96</v>
      </c>
      <c r="R19">
        <f>R17+T17+8</f>
        <v>573</v>
      </c>
      <c r="S19">
        <f>S10</f>
        <v>0</v>
      </c>
      <c r="T19">
        <f>T10*2</f>
        <v>22</v>
      </c>
      <c r="U19">
        <f t="shared" ref="U19:W19" si="59">U10*2</f>
        <v>98</v>
      </c>
      <c r="V19">
        <f t="shared" si="59"/>
        <v>-10</v>
      </c>
      <c r="W19">
        <f t="shared" si="59"/>
        <v>-30</v>
      </c>
      <c r="Y19" t="str">
        <f>"[" &amp; R19 &amp; ","</f>
        <v>[573,</v>
      </c>
      <c r="Z19" t="str">
        <f>S19 &amp; ","</f>
        <v>0,</v>
      </c>
      <c r="AA19" t="str">
        <f t="shared" ref="AA19:AA26" si="60">T19 &amp; ","</f>
        <v>22,</v>
      </c>
      <c r="AB19" t="str">
        <f t="shared" ref="AB19:AB26" si="61">U19 &amp; ","</f>
        <v>98,</v>
      </c>
      <c r="AC19" t="str">
        <f t="shared" ref="AC19:AC26" si="62">V19 &amp; ","</f>
        <v>-10,</v>
      </c>
      <c r="AD19" t="str">
        <f t="shared" ref="AD19:AD26" si="63">W19 &amp; ","</f>
        <v>-30,</v>
      </c>
      <c r="AE19" t="s">
        <v>91</v>
      </c>
      <c r="AG19" t="s">
        <v>96</v>
      </c>
      <c r="AH19">
        <f>AH17+AJ17+8</f>
        <v>520</v>
      </c>
      <c r="AI19">
        <f>AI10</f>
        <v>0</v>
      </c>
      <c r="AJ19">
        <f>AJ10*2</f>
        <v>24</v>
      </c>
      <c r="AK19">
        <f t="shared" ref="AK19:AM19" si="64">AK10*2</f>
        <v>140</v>
      </c>
      <c r="AL19">
        <f t="shared" si="64"/>
        <v>-10</v>
      </c>
      <c r="AM19">
        <f t="shared" si="64"/>
        <v>-30</v>
      </c>
      <c r="AN19" s="22"/>
      <c r="AO19" s="22" t="str">
        <f>"[" &amp; AH19 &amp; ","</f>
        <v>[520,</v>
      </c>
      <c r="AP19" s="22" t="str">
        <f>AI19 &amp; ","</f>
        <v>0,</v>
      </c>
      <c r="AQ19" s="22" t="str">
        <f t="shared" ref="AQ19:AQ26" si="65">AJ19 &amp; ","</f>
        <v>24,</v>
      </c>
      <c r="AR19" s="22" t="str">
        <f t="shared" ref="AR19:AR26" si="66">AK19 &amp; ","</f>
        <v>140,</v>
      </c>
      <c r="AS19" s="22" t="str">
        <f t="shared" ref="AS19:AS26" si="67">AL19 &amp; ","</f>
        <v>-10,</v>
      </c>
      <c r="AT19" s="22" t="str">
        <f t="shared" ref="AT19:AT26" si="68">AM19 &amp; ","</f>
        <v>-30,</v>
      </c>
      <c r="AU19" s="22" t="s">
        <v>91</v>
      </c>
    </row>
    <row r="20" spans="1:47">
      <c r="B20">
        <f>B19+D19+8</f>
        <v>577</v>
      </c>
      <c r="C20">
        <f t="shared" ref="C20" si="69">C11</f>
        <v>0</v>
      </c>
      <c r="D20">
        <f t="shared" ref="D20:G26" si="70">D11*2</f>
        <v>108</v>
      </c>
      <c r="E20">
        <f t="shared" si="70"/>
        <v>80</v>
      </c>
      <c r="F20">
        <f t="shared" si="70"/>
        <v>-90</v>
      </c>
      <c r="G20">
        <f t="shared" si="70"/>
        <v>-24</v>
      </c>
      <c r="I20" t="str">
        <f t="shared" ref="I20:I26" si="71">"[" &amp; B20 &amp; ","</f>
        <v>[577,</v>
      </c>
      <c r="J20" t="str">
        <f t="shared" ref="J20:J26" si="72">C20 &amp; ","</f>
        <v>0,</v>
      </c>
      <c r="K20" t="str">
        <f t="shared" si="55"/>
        <v>108,</v>
      </c>
      <c r="L20" t="str">
        <f t="shared" si="56"/>
        <v>80,</v>
      </c>
      <c r="M20" t="str">
        <f t="shared" si="57"/>
        <v>-90,</v>
      </c>
      <c r="N20" t="str">
        <f t="shared" si="58"/>
        <v>-24,</v>
      </c>
      <c r="O20" t="s">
        <v>91</v>
      </c>
      <c r="R20">
        <f>R19+T19+8</f>
        <v>603</v>
      </c>
      <c r="S20">
        <f t="shared" ref="S20:S26" si="73">S11</f>
        <v>0</v>
      </c>
      <c r="T20">
        <f t="shared" ref="T20:W20" si="74">T11*2</f>
        <v>118</v>
      </c>
      <c r="U20">
        <f t="shared" si="74"/>
        <v>88</v>
      </c>
      <c r="V20">
        <f t="shared" si="74"/>
        <v>-98</v>
      </c>
      <c r="W20">
        <f t="shared" si="74"/>
        <v>-32</v>
      </c>
      <c r="Y20" t="str">
        <f t="shared" ref="Y20:Y26" si="75">"[" &amp; R20 &amp; ","</f>
        <v>[603,</v>
      </c>
      <c r="Z20" t="str">
        <f t="shared" ref="Z20:Z26" si="76">S20 &amp; ","</f>
        <v>0,</v>
      </c>
      <c r="AA20" t="str">
        <f t="shared" si="60"/>
        <v>118,</v>
      </c>
      <c r="AB20" t="str">
        <f t="shared" si="61"/>
        <v>88,</v>
      </c>
      <c r="AC20" t="str">
        <f t="shared" si="62"/>
        <v>-98,</v>
      </c>
      <c r="AD20" t="str">
        <f t="shared" si="63"/>
        <v>-32,</v>
      </c>
      <c r="AE20" t="s">
        <v>91</v>
      </c>
      <c r="AH20">
        <f>AH19+AJ19+8</f>
        <v>552</v>
      </c>
      <c r="AI20">
        <f t="shared" ref="AI20:AI26" si="77">AI11</f>
        <v>0</v>
      </c>
      <c r="AJ20">
        <f t="shared" ref="AJ20:AM20" si="78">AJ11*2</f>
        <v>116</v>
      </c>
      <c r="AK20">
        <f t="shared" si="78"/>
        <v>88</v>
      </c>
      <c r="AL20">
        <f t="shared" si="78"/>
        <v>-98</v>
      </c>
      <c r="AM20">
        <f t="shared" si="78"/>
        <v>-32</v>
      </c>
      <c r="AN20" s="22"/>
      <c r="AO20" s="22" t="str">
        <f t="shared" ref="AO20:AO26" si="79">"[" &amp; AH20 &amp; ","</f>
        <v>[552,</v>
      </c>
      <c r="AP20" s="22" t="str">
        <f t="shared" ref="AP20:AP26" si="80">AI20 &amp; ","</f>
        <v>0,</v>
      </c>
      <c r="AQ20" s="22" t="str">
        <f t="shared" si="65"/>
        <v>116,</v>
      </c>
      <c r="AR20" s="22" t="str">
        <f t="shared" si="66"/>
        <v>88,</v>
      </c>
      <c r="AS20" s="22" t="str">
        <f t="shared" si="67"/>
        <v>-98,</v>
      </c>
      <c r="AT20" s="22" t="str">
        <f t="shared" si="68"/>
        <v>-32,</v>
      </c>
      <c r="AU20" s="22" t="s">
        <v>91</v>
      </c>
    </row>
    <row r="21" spans="1:47">
      <c r="B21">
        <f t="shared" ref="B21:B26" si="81">B20+D20+8</f>
        <v>693</v>
      </c>
      <c r="C21">
        <f t="shared" ref="C21" si="82">C12</f>
        <v>0</v>
      </c>
      <c r="D21">
        <f t="shared" si="70"/>
        <v>138</v>
      </c>
      <c r="E21">
        <f t="shared" si="70"/>
        <v>30</v>
      </c>
      <c r="F21">
        <f t="shared" si="70"/>
        <v>-108</v>
      </c>
      <c r="G21">
        <f t="shared" si="70"/>
        <v>-20</v>
      </c>
      <c r="I21" t="str">
        <f t="shared" si="71"/>
        <v>[693,</v>
      </c>
      <c r="J21" t="str">
        <f t="shared" si="72"/>
        <v>0,</v>
      </c>
      <c r="K21" t="str">
        <f t="shared" si="55"/>
        <v>138,</v>
      </c>
      <c r="L21" t="str">
        <f t="shared" si="56"/>
        <v>30,</v>
      </c>
      <c r="M21" t="str">
        <f t="shared" si="57"/>
        <v>-108,</v>
      </c>
      <c r="N21" t="str">
        <f t="shared" si="58"/>
        <v>-20,</v>
      </c>
      <c r="O21" t="s">
        <v>91</v>
      </c>
      <c r="R21">
        <f t="shared" ref="R21:R26" si="83">R20+T20+8</f>
        <v>729</v>
      </c>
      <c r="S21">
        <f t="shared" si="73"/>
        <v>0</v>
      </c>
      <c r="T21">
        <f t="shared" ref="T21:W21" si="84">T12*2</f>
        <v>144</v>
      </c>
      <c r="U21">
        <f t="shared" si="84"/>
        <v>30</v>
      </c>
      <c r="V21">
        <f t="shared" si="84"/>
        <v>-108</v>
      </c>
      <c r="W21">
        <f t="shared" si="84"/>
        <v>-20</v>
      </c>
      <c r="Y21" t="str">
        <f t="shared" si="75"/>
        <v>[729,</v>
      </c>
      <c r="Z21" t="str">
        <f t="shared" si="76"/>
        <v>0,</v>
      </c>
      <c r="AA21" t="str">
        <f t="shared" si="60"/>
        <v>144,</v>
      </c>
      <c r="AB21" t="str">
        <f t="shared" si="61"/>
        <v>30,</v>
      </c>
      <c r="AC21" t="str">
        <f t="shared" si="62"/>
        <v>-108,</v>
      </c>
      <c r="AD21" t="str">
        <f t="shared" si="63"/>
        <v>-20,</v>
      </c>
      <c r="AE21" t="s">
        <v>91</v>
      </c>
      <c r="AH21">
        <f t="shared" ref="AH21:AH26" si="85">AH20+AJ20+8</f>
        <v>676</v>
      </c>
      <c r="AI21">
        <f t="shared" si="77"/>
        <v>0</v>
      </c>
      <c r="AJ21">
        <f t="shared" ref="AJ21:AM21" si="86">AJ12*2</f>
        <v>200</v>
      </c>
      <c r="AK21">
        <f t="shared" si="86"/>
        <v>40</v>
      </c>
      <c r="AL21">
        <f t="shared" si="86"/>
        <v>-168</v>
      </c>
      <c r="AM21">
        <f t="shared" si="86"/>
        <v>-28</v>
      </c>
      <c r="AN21" s="22"/>
      <c r="AO21" s="22" t="str">
        <f t="shared" si="79"/>
        <v>[676,</v>
      </c>
      <c r="AP21" s="22" t="str">
        <f t="shared" si="80"/>
        <v>0,</v>
      </c>
      <c r="AQ21" s="22" t="str">
        <f t="shared" si="65"/>
        <v>200,</v>
      </c>
      <c r="AR21" s="22" t="str">
        <f t="shared" si="66"/>
        <v>40,</v>
      </c>
      <c r="AS21" s="22" t="str">
        <f t="shared" si="67"/>
        <v>-168,</v>
      </c>
      <c r="AT21" s="22" t="str">
        <f t="shared" si="68"/>
        <v>-28,</v>
      </c>
      <c r="AU21" s="22" t="s">
        <v>91</v>
      </c>
    </row>
    <row r="22" spans="1:47">
      <c r="B22">
        <f t="shared" si="81"/>
        <v>839</v>
      </c>
      <c r="C22">
        <f t="shared" ref="C22" si="87">C13</f>
        <v>0</v>
      </c>
      <c r="D22">
        <f t="shared" si="70"/>
        <v>108</v>
      </c>
      <c r="E22">
        <f t="shared" si="70"/>
        <v>80</v>
      </c>
      <c r="F22">
        <f t="shared" si="70"/>
        <v>-82</v>
      </c>
      <c r="G22">
        <f t="shared" si="70"/>
        <v>-58</v>
      </c>
      <c r="I22" t="str">
        <f t="shared" si="71"/>
        <v>[839,</v>
      </c>
      <c r="J22" t="str">
        <f t="shared" si="72"/>
        <v>0,</v>
      </c>
      <c r="K22" t="str">
        <f t="shared" si="55"/>
        <v>108,</v>
      </c>
      <c r="L22" t="str">
        <f t="shared" si="56"/>
        <v>80,</v>
      </c>
      <c r="M22" t="str">
        <f t="shared" si="57"/>
        <v>-82,</v>
      </c>
      <c r="N22" t="str">
        <f t="shared" si="58"/>
        <v>-58,</v>
      </c>
      <c r="O22" t="s">
        <v>91</v>
      </c>
      <c r="R22">
        <f t="shared" si="83"/>
        <v>881</v>
      </c>
      <c r="S22">
        <f t="shared" si="73"/>
        <v>0</v>
      </c>
      <c r="T22">
        <f t="shared" ref="T22:W22" si="88">T13*2</f>
        <v>118</v>
      </c>
      <c r="U22">
        <f t="shared" si="88"/>
        <v>88</v>
      </c>
      <c r="V22">
        <f t="shared" si="88"/>
        <v>-88</v>
      </c>
      <c r="W22">
        <f t="shared" si="88"/>
        <v>-66</v>
      </c>
      <c r="Y22" t="str">
        <f t="shared" si="75"/>
        <v>[881,</v>
      </c>
      <c r="Z22" t="str">
        <f t="shared" si="76"/>
        <v>0,</v>
      </c>
      <c r="AA22" t="str">
        <f t="shared" si="60"/>
        <v>118,</v>
      </c>
      <c r="AB22" t="str">
        <f t="shared" si="61"/>
        <v>88,</v>
      </c>
      <c r="AC22" t="str">
        <f t="shared" si="62"/>
        <v>-88,</v>
      </c>
      <c r="AD22" t="str">
        <f t="shared" si="63"/>
        <v>-66,</v>
      </c>
      <c r="AE22" t="s">
        <v>91</v>
      </c>
      <c r="AH22">
        <f t="shared" si="85"/>
        <v>884</v>
      </c>
      <c r="AI22">
        <f t="shared" si="77"/>
        <v>0</v>
      </c>
      <c r="AJ22">
        <f t="shared" ref="AJ22:AM22" si="89">AJ13*2</f>
        <v>116</v>
      </c>
      <c r="AK22">
        <f t="shared" si="89"/>
        <v>88</v>
      </c>
      <c r="AL22">
        <f t="shared" si="89"/>
        <v>-88</v>
      </c>
      <c r="AM22">
        <f t="shared" si="89"/>
        <v>-66</v>
      </c>
      <c r="AN22" s="22"/>
      <c r="AO22" s="22" t="str">
        <f t="shared" si="79"/>
        <v>[884,</v>
      </c>
      <c r="AP22" s="22" t="str">
        <f t="shared" si="80"/>
        <v>0,</v>
      </c>
      <c r="AQ22" s="22" t="str">
        <f t="shared" si="65"/>
        <v>116,</v>
      </c>
      <c r="AR22" s="22" t="str">
        <f t="shared" si="66"/>
        <v>88,</v>
      </c>
      <c r="AS22" s="22" t="str">
        <f t="shared" si="67"/>
        <v>-88,</v>
      </c>
      <c r="AT22" s="22" t="str">
        <f t="shared" si="68"/>
        <v>-66,</v>
      </c>
      <c r="AU22" s="22" t="s">
        <v>91</v>
      </c>
    </row>
    <row r="23" spans="1:47">
      <c r="B23">
        <f t="shared" si="81"/>
        <v>955</v>
      </c>
      <c r="C23">
        <f t="shared" ref="C23" si="90">C14</f>
        <v>0</v>
      </c>
      <c r="D23">
        <f t="shared" si="70"/>
        <v>22</v>
      </c>
      <c r="E23">
        <f t="shared" si="70"/>
        <v>98</v>
      </c>
      <c r="F23">
        <f t="shared" si="70"/>
        <v>-12</v>
      </c>
      <c r="G23">
        <f t="shared" si="70"/>
        <v>-64</v>
      </c>
      <c r="I23" t="str">
        <f t="shared" si="71"/>
        <v>[955,</v>
      </c>
      <c r="J23" t="str">
        <f t="shared" si="72"/>
        <v>0,</v>
      </c>
      <c r="K23" t="str">
        <f t="shared" si="55"/>
        <v>22,</v>
      </c>
      <c r="L23" t="str">
        <f t="shared" si="56"/>
        <v>98,</v>
      </c>
      <c r="M23" t="str">
        <f t="shared" si="57"/>
        <v>-12,</v>
      </c>
      <c r="N23" t="str">
        <f t="shared" si="58"/>
        <v>-64,</v>
      </c>
      <c r="O23" t="s">
        <v>91</v>
      </c>
      <c r="R23">
        <f t="shared" si="83"/>
        <v>1007</v>
      </c>
      <c r="S23">
        <f t="shared" si="73"/>
        <v>0</v>
      </c>
      <c r="T23">
        <f t="shared" ref="T23:W23" si="91">T14*2</f>
        <v>22</v>
      </c>
      <c r="U23">
        <f t="shared" si="91"/>
        <v>98</v>
      </c>
      <c r="V23">
        <f t="shared" si="91"/>
        <v>-12</v>
      </c>
      <c r="W23">
        <f t="shared" si="91"/>
        <v>-74</v>
      </c>
      <c r="Y23" t="str">
        <f t="shared" si="75"/>
        <v>[1007,</v>
      </c>
      <c r="Z23" t="str">
        <f t="shared" si="76"/>
        <v>0,</v>
      </c>
      <c r="AA23" t="str">
        <f t="shared" si="60"/>
        <v>22,</v>
      </c>
      <c r="AB23" t="str">
        <f t="shared" si="61"/>
        <v>98,</v>
      </c>
      <c r="AC23" t="str">
        <f t="shared" si="62"/>
        <v>-12,</v>
      </c>
      <c r="AD23" t="str">
        <f t="shared" si="63"/>
        <v>-74,</v>
      </c>
      <c r="AE23" t="s">
        <v>91</v>
      </c>
      <c r="AH23">
        <f t="shared" si="85"/>
        <v>1008</v>
      </c>
      <c r="AI23">
        <f t="shared" si="77"/>
        <v>0</v>
      </c>
      <c r="AJ23">
        <f t="shared" ref="AJ23:AM23" si="92">AJ14*2</f>
        <v>24</v>
      </c>
      <c r="AK23">
        <f t="shared" si="92"/>
        <v>140</v>
      </c>
      <c r="AL23">
        <f t="shared" si="92"/>
        <v>-10</v>
      </c>
      <c r="AM23">
        <f t="shared" si="92"/>
        <v>-30</v>
      </c>
      <c r="AN23" s="22"/>
      <c r="AO23" s="22" t="str">
        <f t="shared" si="79"/>
        <v>[1008,</v>
      </c>
      <c r="AP23" s="22" t="str">
        <f t="shared" si="80"/>
        <v>0,</v>
      </c>
      <c r="AQ23" s="22" t="str">
        <f t="shared" si="65"/>
        <v>24,</v>
      </c>
      <c r="AR23" s="22" t="str">
        <f t="shared" si="66"/>
        <v>140,</v>
      </c>
      <c r="AS23" s="22" t="str">
        <f t="shared" si="67"/>
        <v>-10,</v>
      </c>
      <c r="AT23" s="22" t="str">
        <f t="shared" si="68"/>
        <v>-30,</v>
      </c>
      <c r="AU23" s="22" t="s">
        <v>91</v>
      </c>
    </row>
    <row r="24" spans="1:47">
      <c r="B24">
        <f t="shared" si="81"/>
        <v>985</v>
      </c>
      <c r="C24">
        <f t="shared" ref="C24" si="93">C15</f>
        <v>0</v>
      </c>
      <c r="D24">
        <f t="shared" si="70"/>
        <v>108</v>
      </c>
      <c r="E24">
        <f t="shared" si="70"/>
        <v>80</v>
      </c>
      <c r="F24">
        <f t="shared" si="70"/>
        <v>-30</v>
      </c>
      <c r="G24">
        <f t="shared" si="70"/>
        <v>-56</v>
      </c>
      <c r="I24" t="str">
        <f t="shared" si="71"/>
        <v>[985,</v>
      </c>
      <c r="J24" t="str">
        <f t="shared" si="72"/>
        <v>0,</v>
      </c>
      <c r="K24" t="str">
        <f t="shared" si="55"/>
        <v>108,</v>
      </c>
      <c r="L24" t="str">
        <f t="shared" si="56"/>
        <v>80,</v>
      </c>
      <c r="M24" t="str">
        <f t="shared" si="57"/>
        <v>-30,</v>
      </c>
      <c r="N24" t="str">
        <f t="shared" si="58"/>
        <v>-56,</v>
      </c>
      <c r="O24" t="s">
        <v>91</v>
      </c>
      <c r="R24">
        <f t="shared" si="83"/>
        <v>1037</v>
      </c>
      <c r="S24">
        <f t="shared" si="73"/>
        <v>0</v>
      </c>
      <c r="T24">
        <f t="shared" ref="T24:W24" si="94">T15*2</f>
        <v>118</v>
      </c>
      <c r="U24">
        <f t="shared" si="94"/>
        <v>88</v>
      </c>
      <c r="V24">
        <f t="shared" si="94"/>
        <v>-28</v>
      </c>
      <c r="W24">
        <f t="shared" si="94"/>
        <v>-66</v>
      </c>
      <c r="Y24" t="str">
        <f t="shared" si="75"/>
        <v>[1037,</v>
      </c>
      <c r="Z24" t="str">
        <f t="shared" si="76"/>
        <v>0,</v>
      </c>
      <c r="AA24" t="str">
        <f t="shared" si="60"/>
        <v>118,</v>
      </c>
      <c r="AB24" t="str">
        <f t="shared" si="61"/>
        <v>88,</v>
      </c>
      <c r="AC24" t="str">
        <f t="shared" si="62"/>
        <v>-28,</v>
      </c>
      <c r="AD24" t="str">
        <f t="shared" si="63"/>
        <v>-66,</v>
      </c>
      <c r="AE24" t="s">
        <v>91</v>
      </c>
      <c r="AH24">
        <f t="shared" si="85"/>
        <v>1040</v>
      </c>
      <c r="AI24">
        <f t="shared" si="77"/>
        <v>0</v>
      </c>
      <c r="AJ24">
        <f t="shared" ref="AJ24:AM24" si="95">AJ15*2</f>
        <v>116</v>
      </c>
      <c r="AK24">
        <f t="shared" si="95"/>
        <v>88</v>
      </c>
      <c r="AL24">
        <f t="shared" si="95"/>
        <v>-28</v>
      </c>
      <c r="AM24">
        <f t="shared" si="95"/>
        <v>-66</v>
      </c>
      <c r="AN24" s="22"/>
      <c r="AO24" s="22" t="str">
        <f t="shared" si="79"/>
        <v>[1040,</v>
      </c>
      <c r="AP24" s="22" t="str">
        <f t="shared" si="80"/>
        <v>0,</v>
      </c>
      <c r="AQ24" s="22" t="str">
        <f t="shared" si="65"/>
        <v>116,</v>
      </c>
      <c r="AR24" s="22" t="str">
        <f t="shared" si="66"/>
        <v>88,</v>
      </c>
      <c r="AS24" s="22" t="str">
        <f t="shared" si="67"/>
        <v>-28,</v>
      </c>
      <c r="AT24" s="22" t="str">
        <f t="shared" si="68"/>
        <v>-66,</v>
      </c>
      <c r="AU24" s="22" t="s">
        <v>91</v>
      </c>
    </row>
    <row r="25" spans="1:47">
      <c r="B25">
        <f t="shared" si="81"/>
        <v>1101</v>
      </c>
      <c r="C25">
        <f t="shared" ref="C25" si="96">C16</f>
        <v>0</v>
      </c>
      <c r="D25">
        <f t="shared" si="70"/>
        <v>138</v>
      </c>
      <c r="E25">
        <f t="shared" si="70"/>
        <v>30</v>
      </c>
      <c r="F25">
        <f t="shared" si="70"/>
        <v>-22</v>
      </c>
      <c r="G25">
        <f t="shared" si="70"/>
        <v>-18</v>
      </c>
      <c r="I25" t="str">
        <f t="shared" si="71"/>
        <v>[1101,</v>
      </c>
      <c r="J25" t="str">
        <f t="shared" si="72"/>
        <v>0,</v>
      </c>
      <c r="K25" t="str">
        <f t="shared" si="55"/>
        <v>138,</v>
      </c>
      <c r="L25" t="str">
        <f t="shared" si="56"/>
        <v>30,</v>
      </c>
      <c r="M25" t="str">
        <f t="shared" si="57"/>
        <v>-22,</v>
      </c>
      <c r="N25" t="str">
        <f t="shared" si="58"/>
        <v>-18,</v>
      </c>
      <c r="O25" t="s">
        <v>91</v>
      </c>
      <c r="R25">
        <f t="shared" si="83"/>
        <v>1163</v>
      </c>
      <c r="S25">
        <f t="shared" si="73"/>
        <v>0</v>
      </c>
      <c r="T25">
        <f t="shared" ref="T25:W25" si="97">T16*2</f>
        <v>144</v>
      </c>
      <c r="U25">
        <f t="shared" si="97"/>
        <v>30</v>
      </c>
      <c r="V25">
        <f t="shared" si="97"/>
        <v>-22</v>
      </c>
      <c r="W25">
        <f t="shared" si="97"/>
        <v>-18</v>
      </c>
      <c r="Y25" t="str">
        <f t="shared" si="75"/>
        <v>[1163,</v>
      </c>
      <c r="Z25" t="str">
        <f t="shared" si="76"/>
        <v>0,</v>
      </c>
      <c r="AA25" t="str">
        <f t="shared" si="60"/>
        <v>144,</v>
      </c>
      <c r="AB25" t="str">
        <f t="shared" si="61"/>
        <v>30,</v>
      </c>
      <c r="AC25" t="str">
        <f t="shared" si="62"/>
        <v>-22,</v>
      </c>
      <c r="AD25" t="str">
        <f t="shared" si="63"/>
        <v>-18,</v>
      </c>
      <c r="AE25" t="s">
        <v>91</v>
      </c>
      <c r="AH25">
        <f t="shared" si="85"/>
        <v>1164</v>
      </c>
      <c r="AI25">
        <f t="shared" si="77"/>
        <v>0</v>
      </c>
      <c r="AJ25">
        <f t="shared" ref="AJ25:AM25" si="98">AJ16*2</f>
        <v>200</v>
      </c>
      <c r="AK25">
        <f t="shared" si="98"/>
        <v>40</v>
      </c>
      <c r="AL25">
        <f t="shared" si="98"/>
        <v>-32</v>
      </c>
      <c r="AM25">
        <f t="shared" si="98"/>
        <v>-28</v>
      </c>
      <c r="AN25" s="22"/>
      <c r="AO25" s="22" t="str">
        <f t="shared" si="79"/>
        <v>[1164,</v>
      </c>
      <c r="AP25" s="22" t="str">
        <f t="shared" si="80"/>
        <v>0,</v>
      </c>
      <c r="AQ25" s="22" t="str">
        <f t="shared" si="65"/>
        <v>200,</v>
      </c>
      <c r="AR25" s="22" t="str">
        <f t="shared" si="66"/>
        <v>40,</v>
      </c>
      <c r="AS25" s="22" t="str">
        <f t="shared" si="67"/>
        <v>-32,</v>
      </c>
      <c r="AT25" s="22" t="str">
        <f t="shared" si="68"/>
        <v>-28,</v>
      </c>
      <c r="AU25" s="22" t="s">
        <v>91</v>
      </c>
    </row>
    <row r="26" spans="1:47">
      <c r="B26">
        <f t="shared" si="81"/>
        <v>1247</v>
      </c>
      <c r="C26">
        <f t="shared" ref="C26" si="99">C17</f>
        <v>0</v>
      </c>
      <c r="D26">
        <f t="shared" si="70"/>
        <v>108</v>
      </c>
      <c r="E26">
        <f t="shared" si="70"/>
        <v>80</v>
      </c>
      <c r="F26">
        <f t="shared" si="70"/>
        <v>-16</v>
      </c>
      <c r="G26">
        <f t="shared" si="70"/>
        <v>-28</v>
      </c>
      <c r="I26" t="str">
        <f t="shared" si="71"/>
        <v>[1247,</v>
      </c>
      <c r="J26" t="str">
        <f t="shared" si="72"/>
        <v>0,</v>
      </c>
      <c r="K26" t="str">
        <f t="shared" si="55"/>
        <v>108,</v>
      </c>
      <c r="L26" t="str">
        <f t="shared" si="56"/>
        <v>80,</v>
      </c>
      <c r="M26" t="str">
        <f t="shared" si="57"/>
        <v>-16,</v>
      </c>
      <c r="N26" t="str">
        <f t="shared" si="58"/>
        <v>-28,</v>
      </c>
      <c r="O26" t="s">
        <v>91</v>
      </c>
      <c r="R26">
        <f t="shared" si="83"/>
        <v>1315</v>
      </c>
      <c r="S26">
        <f t="shared" si="73"/>
        <v>0</v>
      </c>
      <c r="T26">
        <f t="shared" ref="T26:W26" si="100">T17*2</f>
        <v>118</v>
      </c>
      <c r="U26">
        <f t="shared" si="100"/>
        <v>88</v>
      </c>
      <c r="V26">
        <f t="shared" si="100"/>
        <v>-16</v>
      </c>
      <c r="W26">
        <f t="shared" si="100"/>
        <v>-28</v>
      </c>
      <c r="Y26" t="str">
        <f t="shared" si="75"/>
        <v>[1315,</v>
      </c>
      <c r="Z26" t="str">
        <f t="shared" si="76"/>
        <v>0,</v>
      </c>
      <c r="AA26" t="str">
        <f t="shared" si="60"/>
        <v>118,</v>
      </c>
      <c r="AB26" t="str">
        <f t="shared" si="61"/>
        <v>88,</v>
      </c>
      <c r="AC26" t="str">
        <f t="shared" si="62"/>
        <v>-16,</v>
      </c>
      <c r="AD26" t="str">
        <f t="shared" si="63"/>
        <v>-28,</v>
      </c>
      <c r="AE26" t="s">
        <v>91</v>
      </c>
      <c r="AH26">
        <f t="shared" si="85"/>
        <v>1372</v>
      </c>
      <c r="AI26">
        <f t="shared" si="77"/>
        <v>0</v>
      </c>
      <c r="AJ26">
        <f t="shared" ref="AJ26:AM26" si="101">AJ17*2</f>
        <v>116</v>
      </c>
      <c r="AK26">
        <f t="shared" si="101"/>
        <v>88</v>
      </c>
      <c r="AL26">
        <f t="shared" si="101"/>
        <v>-16</v>
      </c>
      <c r="AM26">
        <f t="shared" si="101"/>
        <v>-28</v>
      </c>
      <c r="AN26" s="22"/>
      <c r="AO26" s="22" t="str">
        <f t="shared" si="79"/>
        <v>[1372,</v>
      </c>
      <c r="AP26" s="22" t="str">
        <f t="shared" si="80"/>
        <v>0,</v>
      </c>
      <c r="AQ26" s="22" t="str">
        <f t="shared" si="65"/>
        <v>116,</v>
      </c>
      <c r="AR26" s="22" t="str">
        <f t="shared" si="66"/>
        <v>88,</v>
      </c>
      <c r="AS26" s="22" t="str">
        <f t="shared" si="67"/>
        <v>-16,</v>
      </c>
      <c r="AT26" s="22" t="str">
        <f t="shared" si="68"/>
        <v>-28,</v>
      </c>
      <c r="AU26" s="22" t="s">
        <v>91</v>
      </c>
    </row>
    <row r="27" spans="1:47">
      <c r="AN27" s="22"/>
      <c r="AO27" s="22"/>
      <c r="AP27" s="22"/>
      <c r="AQ27" s="22"/>
      <c r="AR27" s="22"/>
      <c r="AS27" s="22"/>
      <c r="AT27" s="22"/>
      <c r="AU27" s="22"/>
    </row>
    <row r="28" spans="1:47">
      <c r="A28" t="s">
        <v>97</v>
      </c>
      <c r="B28">
        <f>B26+D26+8</f>
        <v>1363</v>
      </c>
      <c r="C28">
        <f>C19</f>
        <v>0</v>
      </c>
      <c r="D28">
        <f>D19*2</f>
        <v>44</v>
      </c>
      <c r="E28">
        <f t="shared" ref="E28:G28" si="102">E19*2</f>
        <v>196</v>
      </c>
      <c r="F28">
        <f t="shared" si="102"/>
        <v>-20</v>
      </c>
      <c r="G28">
        <f t="shared" si="102"/>
        <v>-52</v>
      </c>
      <c r="I28" t="str">
        <f>"[" &amp; B28 &amp; ","</f>
        <v>[1363,</v>
      </c>
      <c r="J28" t="str">
        <f>C28 &amp; ","</f>
        <v>0,</v>
      </c>
      <c r="K28" t="str">
        <f t="shared" ref="K28:K35" si="103">D28 &amp; ","</f>
        <v>44,</v>
      </c>
      <c r="L28" t="str">
        <f t="shared" ref="L28:L35" si="104">E28 &amp; ","</f>
        <v>196,</v>
      </c>
      <c r="M28" t="str">
        <f t="shared" ref="M28:M35" si="105">F28 &amp; ","</f>
        <v>-20,</v>
      </c>
      <c r="N28" t="str">
        <f t="shared" ref="N28:N35" si="106">G28 &amp; ","</f>
        <v>-52,</v>
      </c>
      <c r="O28" t="s">
        <v>91</v>
      </c>
      <c r="Q28" t="s">
        <v>97</v>
      </c>
      <c r="R28">
        <f>R26+T26+8</f>
        <v>1441</v>
      </c>
      <c r="S28">
        <f>S19</f>
        <v>0</v>
      </c>
      <c r="T28">
        <f>T19*2</f>
        <v>44</v>
      </c>
      <c r="U28">
        <f t="shared" ref="U28:W28" si="107">U19*2</f>
        <v>196</v>
      </c>
      <c r="V28">
        <f t="shared" si="107"/>
        <v>-20</v>
      </c>
      <c r="W28">
        <f t="shared" si="107"/>
        <v>-60</v>
      </c>
      <c r="Y28" t="str">
        <f>"[" &amp; R28 &amp; ","</f>
        <v>[1441,</v>
      </c>
      <c r="Z28" t="str">
        <f>S28 &amp; ","</f>
        <v>0,</v>
      </c>
      <c r="AA28" t="str">
        <f t="shared" ref="AA28:AA35" si="108">T28 &amp; ","</f>
        <v>44,</v>
      </c>
      <c r="AB28" t="str">
        <f t="shared" ref="AB28:AB35" si="109">U28 &amp; ","</f>
        <v>196,</v>
      </c>
      <c r="AC28" t="str">
        <f t="shared" ref="AC28:AC35" si="110">V28 &amp; ","</f>
        <v>-20,</v>
      </c>
      <c r="AD28" t="str">
        <f t="shared" ref="AD28:AD35" si="111">W28 &amp; ","</f>
        <v>-60,</v>
      </c>
      <c r="AE28" t="s">
        <v>91</v>
      </c>
      <c r="AG28" t="s">
        <v>97</v>
      </c>
      <c r="AH28">
        <f>AH26+AJ26+8</f>
        <v>1496</v>
      </c>
      <c r="AI28">
        <f>AI19</f>
        <v>0</v>
      </c>
      <c r="AJ28">
        <f>AJ19*2</f>
        <v>48</v>
      </c>
      <c r="AK28">
        <f t="shared" ref="AK28:AM28" si="112">AK19*2</f>
        <v>280</v>
      </c>
      <c r="AL28">
        <f t="shared" si="112"/>
        <v>-20</v>
      </c>
      <c r="AM28">
        <f t="shared" si="112"/>
        <v>-60</v>
      </c>
      <c r="AN28" s="22"/>
      <c r="AO28" s="22" t="str">
        <f>"[" &amp; AH28 &amp; ","</f>
        <v>[1496,</v>
      </c>
      <c r="AP28" s="22" t="str">
        <f>AI28 &amp; ","</f>
        <v>0,</v>
      </c>
      <c r="AQ28" s="22" t="str">
        <f t="shared" ref="AQ28:AQ35" si="113">AJ28 &amp; ","</f>
        <v>48,</v>
      </c>
      <c r="AR28" s="22" t="str">
        <f t="shared" ref="AR28:AR35" si="114">AK28 &amp; ","</f>
        <v>280,</v>
      </c>
      <c r="AS28" s="22" t="str">
        <f t="shared" ref="AS28:AS35" si="115">AL28 &amp; ","</f>
        <v>-20,</v>
      </c>
      <c r="AT28" s="22" t="str">
        <f t="shared" ref="AT28:AT35" si="116">AM28 &amp; ","</f>
        <v>-60,</v>
      </c>
      <c r="AU28" s="22" t="s">
        <v>91</v>
      </c>
    </row>
    <row r="29" spans="1:47">
      <c r="B29">
        <f>B28+D28+8</f>
        <v>1415</v>
      </c>
      <c r="C29">
        <f t="shared" ref="C29" si="117">C20</f>
        <v>0</v>
      </c>
      <c r="D29">
        <f t="shared" ref="D29:G29" si="118">D20*2</f>
        <v>216</v>
      </c>
      <c r="E29">
        <f t="shared" si="118"/>
        <v>160</v>
      </c>
      <c r="F29">
        <f t="shared" si="118"/>
        <v>-180</v>
      </c>
      <c r="G29">
        <f t="shared" si="118"/>
        <v>-48</v>
      </c>
      <c r="I29" t="str">
        <f t="shared" ref="I29:I35" si="119">"[" &amp; B29 &amp; ","</f>
        <v>[1415,</v>
      </c>
      <c r="J29" t="str">
        <f t="shared" ref="J29:J35" si="120">C29 &amp; ","</f>
        <v>0,</v>
      </c>
      <c r="K29" t="str">
        <f t="shared" si="103"/>
        <v>216,</v>
      </c>
      <c r="L29" t="str">
        <f t="shared" si="104"/>
        <v>160,</v>
      </c>
      <c r="M29" t="str">
        <f t="shared" si="105"/>
        <v>-180,</v>
      </c>
      <c r="N29" t="str">
        <f t="shared" si="106"/>
        <v>-48,</v>
      </c>
      <c r="O29" t="s">
        <v>91</v>
      </c>
      <c r="R29">
        <f>R28+T28+8</f>
        <v>1493</v>
      </c>
      <c r="S29">
        <f t="shared" ref="S29:S35" si="121">S20</f>
        <v>0</v>
      </c>
      <c r="T29">
        <f t="shared" ref="T29:W29" si="122">T20*2</f>
        <v>236</v>
      </c>
      <c r="U29">
        <f t="shared" si="122"/>
        <v>176</v>
      </c>
      <c r="V29">
        <f t="shared" si="122"/>
        <v>-196</v>
      </c>
      <c r="W29">
        <f t="shared" si="122"/>
        <v>-64</v>
      </c>
      <c r="Y29" t="str">
        <f t="shared" ref="Y29:Y35" si="123">"[" &amp; R29 &amp; ","</f>
        <v>[1493,</v>
      </c>
      <c r="Z29" t="str">
        <f t="shared" ref="Z29:Z35" si="124">S29 &amp; ","</f>
        <v>0,</v>
      </c>
      <c r="AA29" t="str">
        <f t="shared" si="108"/>
        <v>236,</v>
      </c>
      <c r="AB29" t="str">
        <f t="shared" si="109"/>
        <v>176,</v>
      </c>
      <c r="AC29" t="str">
        <f t="shared" si="110"/>
        <v>-196,</v>
      </c>
      <c r="AD29" t="str">
        <f t="shared" si="111"/>
        <v>-64,</v>
      </c>
      <c r="AE29" t="s">
        <v>91</v>
      </c>
      <c r="AH29">
        <f>AH28+AJ28+8</f>
        <v>1552</v>
      </c>
      <c r="AI29">
        <f t="shared" ref="AI29:AI35" si="125">AI20</f>
        <v>0</v>
      </c>
      <c r="AJ29">
        <f t="shared" ref="AJ29:AM29" si="126">AJ20*2</f>
        <v>232</v>
      </c>
      <c r="AK29">
        <f t="shared" si="126"/>
        <v>176</v>
      </c>
      <c r="AL29">
        <f t="shared" si="126"/>
        <v>-196</v>
      </c>
      <c r="AM29">
        <f t="shared" si="126"/>
        <v>-64</v>
      </c>
      <c r="AN29" s="22"/>
      <c r="AO29" s="22" t="str">
        <f t="shared" ref="AO29:AO35" si="127">"[" &amp; AH29 &amp; ","</f>
        <v>[1552,</v>
      </c>
      <c r="AP29" s="22" t="str">
        <f t="shared" ref="AP29:AP35" si="128">AI29 &amp; ","</f>
        <v>0,</v>
      </c>
      <c r="AQ29" s="22" t="str">
        <f t="shared" si="113"/>
        <v>232,</v>
      </c>
      <c r="AR29" s="22" t="str">
        <f t="shared" si="114"/>
        <v>176,</v>
      </c>
      <c r="AS29" s="22" t="str">
        <f t="shared" si="115"/>
        <v>-196,</v>
      </c>
      <c r="AT29" s="22" t="str">
        <f t="shared" si="116"/>
        <v>-64,</v>
      </c>
      <c r="AU29" s="22" t="s">
        <v>91</v>
      </c>
    </row>
    <row r="30" spans="1:47">
      <c r="B30">
        <f t="shared" ref="B30:B35" si="129">B29+D29+8</f>
        <v>1639</v>
      </c>
      <c r="C30">
        <f t="shared" ref="C30" si="130">C21</f>
        <v>0</v>
      </c>
      <c r="D30">
        <f t="shared" ref="D30:G30" si="131">D21*2</f>
        <v>276</v>
      </c>
      <c r="E30">
        <f t="shared" si="131"/>
        <v>60</v>
      </c>
      <c r="F30">
        <f t="shared" si="131"/>
        <v>-216</v>
      </c>
      <c r="G30">
        <f t="shared" si="131"/>
        <v>-40</v>
      </c>
      <c r="I30" t="str">
        <f t="shared" si="119"/>
        <v>[1639,</v>
      </c>
      <c r="J30" t="str">
        <f t="shared" si="120"/>
        <v>0,</v>
      </c>
      <c r="K30" t="str">
        <f t="shared" si="103"/>
        <v>276,</v>
      </c>
      <c r="L30" t="str">
        <f t="shared" si="104"/>
        <v>60,</v>
      </c>
      <c r="M30" t="str">
        <f t="shared" si="105"/>
        <v>-216,</v>
      </c>
      <c r="N30" t="str">
        <f t="shared" si="106"/>
        <v>-40,</v>
      </c>
      <c r="O30" t="s">
        <v>91</v>
      </c>
      <c r="R30">
        <f t="shared" ref="R30:R35" si="132">R29+T29+8</f>
        <v>1737</v>
      </c>
      <c r="S30">
        <f t="shared" si="121"/>
        <v>0</v>
      </c>
      <c r="T30">
        <f t="shared" ref="T30:W30" si="133">T21*2</f>
        <v>288</v>
      </c>
      <c r="U30">
        <f t="shared" si="133"/>
        <v>60</v>
      </c>
      <c r="V30">
        <f t="shared" si="133"/>
        <v>-216</v>
      </c>
      <c r="W30">
        <f t="shared" si="133"/>
        <v>-40</v>
      </c>
      <c r="Y30" t="str">
        <f t="shared" si="123"/>
        <v>[1737,</v>
      </c>
      <c r="Z30" t="str">
        <f t="shared" si="124"/>
        <v>0,</v>
      </c>
      <c r="AA30" t="str">
        <f t="shared" si="108"/>
        <v>288,</v>
      </c>
      <c r="AB30" t="str">
        <f t="shared" si="109"/>
        <v>60,</v>
      </c>
      <c r="AC30" t="str">
        <f t="shared" si="110"/>
        <v>-216,</v>
      </c>
      <c r="AD30" t="str">
        <f t="shared" si="111"/>
        <v>-40,</v>
      </c>
      <c r="AE30" t="s">
        <v>91</v>
      </c>
      <c r="AH30">
        <f t="shared" ref="AH30:AH35" si="134">AH29+AJ29+8</f>
        <v>1792</v>
      </c>
      <c r="AI30">
        <f t="shared" si="125"/>
        <v>0</v>
      </c>
      <c r="AJ30">
        <f t="shared" ref="AJ30:AM30" si="135">AJ21*2</f>
        <v>400</v>
      </c>
      <c r="AK30">
        <f t="shared" si="135"/>
        <v>80</v>
      </c>
      <c r="AL30">
        <f t="shared" si="135"/>
        <v>-336</v>
      </c>
      <c r="AM30">
        <f t="shared" si="135"/>
        <v>-56</v>
      </c>
      <c r="AN30" s="22"/>
      <c r="AO30" s="22" t="str">
        <f t="shared" si="127"/>
        <v>[1792,</v>
      </c>
      <c r="AP30" s="22" t="str">
        <f t="shared" si="128"/>
        <v>0,</v>
      </c>
      <c r="AQ30" s="22" t="str">
        <f t="shared" si="113"/>
        <v>400,</v>
      </c>
      <c r="AR30" s="22" t="str">
        <f t="shared" si="114"/>
        <v>80,</v>
      </c>
      <c r="AS30" s="22" t="str">
        <f t="shared" si="115"/>
        <v>-336,</v>
      </c>
      <c r="AT30" s="22" t="str">
        <f t="shared" si="116"/>
        <v>-56,</v>
      </c>
      <c r="AU30" s="22" t="s">
        <v>91</v>
      </c>
    </row>
    <row r="31" spans="1:47">
      <c r="B31">
        <f t="shared" si="129"/>
        <v>1923</v>
      </c>
      <c r="C31">
        <f t="shared" ref="C31" si="136">C22</f>
        <v>0</v>
      </c>
      <c r="D31">
        <f t="shared" ref="D31:G31" si="137">D22*2</f>
        <v>216</v>
      </c>
      <c r="E31">
        <f t="shared" si="137"/>
        <v>160</v>
      </c>
      <c r="F31">
        <f t="shared" si="137"/>
        <v>-164</v>
      </c>
      <c r="G31">
        <f t="shared" si="137"/>
        <v>-116</v>
      </c>
      <c r="I31" t="str">
        <f t="shared" si="119"/>
        <v>[1923,</v>
      </c>
      <c r="J31" t="str">
        <f t="shared" si="120"/>
        <v>0,</v>
      </c>
      <c r="K31" t="str">
        <f t="shared" si="103"/>
        <v>216,</v>
      </c>
      <c r="L31" t="str">
        <f t="shared" si="104"/>
        <v>160,</v>
      </c>
      <c r="M31" t="str">
        <f t="shared" si="105"/>
        <v>-164,</v>
      </c>
      <c r="N31" t="str">
        <f t="shared" si="106"/>
        <v>-116,</v>
      </c>
      <c r="O31" t="s">
        <v>91</v>
      </c>
      <c r="R31">
        <f t="shared" si="132"/>
        <v>2033</v>
      </c>
      <c r="S31">
        <f t="shared" si="121"/>
        <v>0</v>
      </c>
      <c r="T31">
        <f t="shared" ref="T31:W31" si="138">T22*2</f>
        <v>236</v>
      </c>
      <c r="U31">
        <f t="shared" si="138"/>
        <v>176</v>
      </c>
      <c r="V31">
        <f t="shared" si="138"/>
        <v>-176</v>
      </c>
      <c r="W31">
        <f t="shared" si="138"/>
        <v>-132</v>
      </c>
      <c r="Y31" t="str">
        <f t="shared" si="123"/>
        <v>[2033,</v>
      </c>
      <c r="Z31" t="str">
        <f t="shared" si="124"/>
        <v>0,</v>
      </c>
      <c r="AA31" t="str">
        <f t="shared" si="108"/>
        <v>236,</v>
      </c>
      <c r="AB31" t="str">
        <f t="shared" si="109"/>
        <v>176,</v>
      </c>
      <c r="AC31" t="str">
        <f t="shared" si="110"/>
        <v>-176,</v>
      </c>
      <c r="AD31" t="str">
        <f t="shared" si="111"/>
        <v>-132,</v>
      </c>
      <c r="AE31" t="s">
        <v>91</v>
      </c>
      <c r="AH31">
        <f t="shared" si="134"/>
        <v>2200</v>
      </c>
      <c r="AI31">
        <f t="shared" si="125"/>
        <v>0</v>
      </c>
      <c r="AJ31">
        <f t="shared" ref="AJ31:AM31" si="139">AJ22*2</f>
        <v>232</v>
      </c>
      <c r="AK31">
        <f t="shared" si="139"/>
        <v>176</v>
      </c>
      <c r="AL31">
        <f t="shared" si="139"/>
        <v>-176</v>
      </c>
      <c r="AM31">
        <f t="shared" si="139"/>
        <v>-132</v>
      </c>
      <c r="AN31" s="22"/>
      <c r="AO31" s="22" t="str">
        <f t="shared" si="127"/>
        <v>[2200,</v>
      </c>
      <c r="AP31" s="22" t="str">
        <f t="shared" si="128"/>
        <v>0,</v>
      </c>
      <c r="AQ31" s="22" t="str">
        <f t="shared" si="113"/>
        <v>232,</v>
      </c>
      <c r="AR31" s="22" t="str">
        <f t="shared" si="114"/>
        <v>176,</v>
      </c>
      <c r="AS31" s="22" t="str">
        <f t="shared" si="115"/>
        <v>-176,</v>
      </c>
      <c r="AT31" s="22" t="str">
        <f t="shared" si="116"/>
        <v>-132,</v>
      </c>
      <c r="AU31" s="22" t="s">
        <v>91</v>
      </c>
    </row>
    <row r="32" spans="1:47">
      <c r="B32">
        <f t="shared" si="129"/>
        <v>2147</v>
      </c>
      <c r="C32">
        <f t="shared" ref="C32" si="140">C23</f>
        <v>0</v>
      </c>
      <c r="D32">
        <f t="shared" ref="D32:G32" si="141">D23*2</f>
        <v>44</v>
      </c>
      <c r="E32">
        <f t="shared" si="141"/>
        <v>196</v>
      </c>
      <c r="F32">
        <f t="shared" si="141"/>
        <v>-24</v>
      </c>
      <c r="G32">
        <f t="shared" si="141"/>
        <v>-128</v>
      </c>
      <c r="I32" t="str">
        <f t="shared" si="119"/>
        <v>[2147,</v>
      </c>
      <c r="J32" t="str">
        <f t="shared" si="120"/>
        <v>0,</v>
      </c>
      <c r="K32" t="str">
        <f t="shared" si="103"/>
        <v>44,</v>
      </c>
      <c r="L32" t="str">
        <f t="shared" si="104"/>
        <v>196,</v>
      </c>
      <c r="M32" t="str">
        <f t="shared" si="105"/>
        <v>-24,</v>
      </c>
      <c r="N32" t="str">
        <f t="shared" si="106"/>
        <v>-128,</v>
      </c>
      <c r="O32" t="s">
        <v>91</v>
      </c>
      <c r="R32">
        <f t="shared" si="132"/>
        <v>2277</v>
      </c>
      <c r="S32">
        <f t="shared" si="121"/>
        <v>0</v>
      </c>
      <c r="T32">
        <f t="shared" ref="T32:W32" si="142">T23*2</f>
        <v>44</v>
      </c>
      <c r="U32">
        <f t="shared" si="142"/>
        <v>196</v>
      </c>
      <c r="V32">
        <f t="shared" si="142"/>
        <v>-24</v>
      </c>
      <c r="W32">
        <f t="shared" si="142"/>
        <v>-148</v>
      </c>
      <c r="Y32" t="str">
        <f t="shared" si="123"/>
        <v>[2277,</v>
      </c>
      <c r="Z32" t="str">
        <f t="shared" si="124"/>
        <v>0,</v>
      </c>
      <c r="AA32" t="str">
        <f t="shared" si="108"/>
        <v>44,</v>
      </c>
      <c r="AB32" t="str">
        <f t="shared" si="109"/>
        <v>196,</v>
      </c>
      <c r="AC32" t="str">
        <f t="shared" si="110"/>
        <v>-24,</v>
      </c>
      <c r="AD32" t="str">
        <f t="shared" si="111"/>
        <v>-148,</v>
      </c>
      <c r="AE32" t="s">
        <v>91</v>
      </c>
      <c r="AH32">
        <f t="shared" si="134"/>
        <v>2440</v>
      </c>
      <c r="AI32">
        <f t="shared" si="125"/>
        <v>0</v>
      </c>
      <c r="AJ32">
        <f t="shared" ref="AJ32:AM32" si="143">AJ23*2</f>
        <v>48</v>
      </c>
      <c r="AK32">
        <f t="shared" si="143"/>
        <v>280</v>
      </c>
      <c r="AL32">
        <f t="shared" si="143"/>
        <v>-20</v>
      </c>
      <c r="AM32">
        <f t="shared" si="143"/>
        <v>-60</v>
      </c>
      <c r="AN32" s="22"/>
      <c r="AO32" s="22" t="str">
        <f t="shared" si="127"/>
        <v>[2440,</v>
      </c>
      <c r="AP32" s="22" t="str">
        <f t="shared" si="128"/>
        <v>0,</v>
      </c>
      <c r="AQ32" s="22" t="str">
        <f t="shared" si="113"/>
        <v>48,</v>
      </c>
      <c r="AR32" s="22" t="str">
        <f t="shared" si="114"/>
        <v>280,</v>
      </c>
      <c r="AS32" s="22" t="str">
        <f t="shared" si="115"/>
        <v>-20,</v>
      </c>
      <c r="AT32" s="22" t="str">
        <f t="shared" si="116"/>
        <v>-60,</v>
      </c>
      <c r="AU32" s="22" t="s">
        <v>91</v>
      </c>
    </row>
    <row r="33" spans="2:47">
      <c r="B33">
        <f t="shared" si="129"/>
        <v>2199</v>
      </c>
      <c r="C33">
        <f t="shared" ref="C33" si="144">C24</f>
        <v>0</v>
      </c>
      <c r="D33">
        <f t="shared" ref="D33:G33" si="145">D24*2</f>
        <v>216</v>
      </c>
      <c r="E33">
        <f t="shared" si="145"/>
        <v>160</v>
      </c>
      <c r="F33">
        <f t="shared" si="145"/>
        <v>-60</v>
      </c>
      <c r="G33">
        <f t="shared" si="145"/>
        <v>-112</v>
      </c>
      <c r="I33" t="str">
        <f t="shared" si="119"/>
        <v>[2199,</v>
      </c>
      <c r="J33" t="str">
        <f t="shared" si="120"/>
        <v>0,</v>
      </c>
      <c r="K33" t="str">
        <f t="shared" si="103"/>
        <v>216,</v>
      </c>
      <c r="L33" t="str">
        <f t="shared" si="104"/>
        <v>160,</v>
      </c>
      <c r="M33" t="str">
        <f t="shared" si="105"/>
        <v>-60,</v>
      </c>
      <c r="N33" t="str">
        <f t="shared" si="106"/>
        <v>-112,</v>
      </c>
      <c r="O33" t="s">
        <v>91</v>
      </c>
      <c r="R33">
        <f t="shared" si="132"/>
        <v>2329</v>
      </c>
      <c r="S33">
        <f t="shared" si="121"/>
        <v>0</v>
      </c>
      <c r="T33">
        <f t="shared" ref="T33:W33" si="146">T24*2</f>
        <v>236</v>
      </c>
      <c r="U33">
        <f t="shared" si="146"/>
        <v>176</v>
      </c>
      <c r="V33">
        <f t="shared" si="146"/>
        <v>-56</v>
      </c>
      <c r="W33">
        <f t="shared" si="146"/>
        <v>-132</v>
      </c>
      <c r="Y33" t="str">
        <f t="shared" si="123"/>
        <v>[2329,</v>
      </c>
      <c r="Z33" t="str">
        <f t="shared" si="124"/>
        <v>0,</v>
      </c>
      <c r="AA33" t="str">
        <f t="shared" si="108"/>
        <v>236,</v>
      </c>
      <c r="AB33" t="str">
        <f t="shared" si="109"/>
        <v>176,</v>
      </c>
      <c r="AC33" t="str">
        <f t="shared" si="110"/>
        <v>-56,</v>
      </c>
      <c r="AD33" t="str">
        <f t="shared" si="111"/>
        <v>-132,</v>
      </c>
      <c r="AE33" t="s">
        <v>91</v>
      </c>
      <c r="AH33">
        <f t="shared" si="134"/>
        <v>2496</v>
      </c>
      <c r="AI33">
        <f t="shared" si="125"/>
        <v>0</v>
      </c>
      <c r="AJ33">
        <f t="shared" ref="AJ33:AM33" si="147">AJ24*2</f>
        <v>232</v>
      </c>
      <c r="AK33">
        <f t="shared" si="147"/>
        <v>176</v>
      </c>
      <c r="AL33">
        <f t="shared" si="147"/>
        <v>-56</v>
      </c>
      <c r="AM33">
        <f t="shared" si="147"/>
        <v>-132</v>
      </c>
      <c r="AN33" s="22"/>
      <c r="AO33" s="22" t="str">
        <f t="shared" si="127"/>
        <v>[2496,</v>
      </c>
      <c r="AP33" s="22" t="str">
        <f t="shared" si="128"/>
        <v>0,</v>
      </c>
      <c r="AQ33" s="22" t="str">
        <f t="shared" si="113"/>
        <v>232,</v>
      </c>
      <c r="AR33" s="22" t="str">
        <f t="shared" si="114"/>
        <v>176,</v>
      </c>
      <c r="AS33" s="22" t="str">
        <f t="shared" si="115"/>
        <v>-56,</v>
      </c>
      <c r="AT33" s="22" t="str">
        <f t="shared" si="116"/>
        <v>-132,</v>
      </c>
      <c r="AU33" s="22" t="s">
        <v>91</v>
      </c>
    </row>
    <row r="34" spans="2:47">
      <c r="B34">
        <f t="shared" si="129"/>
        <v>2423</v>
      </c>
      <c r="C34">
        <f t="shared" ref="C34" si="148">C25</f>
        <v>0</v>
      </c>
      <c r="D34">
        <f t="shared" ref="D34:G34" si="149">D25*2</f>
        <v>276</v>
      </c>
      <c r="E34">
        <f t="shared" si="149"/>
        <v>60</v>
      </c>
      <c r="F34">
        <f t="shared" si="149"/>
        <v>-44</v>
      </c>
      <c r="G34">
        <f t="shared" si="149"/>
        <v>-36</v>
      </c>
      <c r="I34" t="str">
        <f t="shared" si="119"/>
        <v>[2423,</v>
      </c>
      <c r="J34" t="str">
        <f t="shared" si="120"/>
        <v>0,</v>
      </c>
      <c r="K34" t="str">
        <f t="shared" si="103"/>
        <v>276,</v>
      </c>
      <c r="L34" t="str">
        <f t="shared" si="104"/>
        <v>60,</v>
      </c>
      <c r="M34" t="str">
        <f t="shared" si="105"/>
        <v>-44,</v>
      </c>
      <c r="N34" t="str">
        <f t="shared" si="106"/>
        <v>-36,</v>
      </c>
      <c r="O34" t="s">
        <v>91</v>
      </c>
      <c r="R34">
        <f t="shared" si="132"/>
        <v>2573</v>
      </c>
      <c r="S34">
        <f t="shared" si="121"/>
        <v>0</v>
      </c>
      <c r="T34">
        <f t="shared" ref="T34:W34" si="150">T25*2</f>
        <v>288</v>
      </c>
      <c r="U34">
        <f t="shared" si="150"/>
        <v>60</v>
      </c>
      <c r="V34">
        <f t="shared" si="150"/>
        <v>-44</v>
      </c>
      <c r="W34">
        <f t="shared" si="150"/>
        <v>-36</v>
      </c>
      <c r="Y34" t="str">
        <f t="shared" si="123"/>
        <v>[2573,</v>
      </c>
      <c r="Z34" t="str">
        <f t="shared" si="124"/>
        <v>0,</v>
      </c>
      <c r="AA34" t="str">
        <f t="shared" si="108"/>
        <v>288,</v>
      </c>
      <c r="AB34" t="str">
        <f t="shared" si="109"/>
        <v>60,</v>
      </c>
      <c r="AC34" t="str">
        <f t="shared" si="110"/>
        <v>-44,</v>
      </c>
      <c r="AD34" t="str">
        <f t="shared" si="111"/>
        <v>-36,</v>
      </c>
      <c r="AE34" t="s">
        <v>91</v>
      </c>
      <c r="AH34">
        <f t="shared" si="134"/>
        <v>2736</v>
      </c>
      <c r="AI34">
        <f t="shared" si="125"/>
        <v>0</v>
      </c>
      <c r="AJ34">
        <f t="shared" ref="AJ34:AM34" si="151">AJ25*2</f>
        <v>400</v>
      </c>
      <c r="AK34">
        <f t="shared" si="151"/>
        <v>80</v>
      </c>
      <c r="AL34">
        <f t="shared" si="151"/>
        <v>-64</v>
      </c>
      <c r="AM34">
        <f t="shared" si="151"/>
        <v>-56</v>
      </c>
      <c r="AN34" s="22"/>
      <c r="AO34" s="22" t="str">
        <f t="shared" si="127"/>
        <v>[2736,</v>
      </c>
      <c r="AP34" s="22" t="str">
        <f t="shared" si="128"/>
        <v>0,</v>
      </c>
      <c r="AQ34" s="22" t="str">
        <f t="shared" si="113"/>
        <v>400,</v>
      </c>
      <c r="AR34" s="22" t="str">
        <f t="shared" si="114"/>
        <v>80,</v>
      </c>
      <c r="AS34" s="22" t="str">
        <f t="shared" si="115"/>
        <v>-64,</v>
      </c>
      <c r="AT34" s="22" t="str">
        <f t="shared" si="116"/>
        <v>-56,</v>
      </c>
      <c r="AU34" s="22" t="s">
        <v>91</v>
      </c>
    </row>
    <row r="35" spans="2:47">
      <c r="B35">
        <f t="shared" si="129"/>
        <v>2707</v>
      </c>
      <c r="C35">
        <f t="shared" ref="C35" si="152">C26</f>
        <v>0</v>
      </c>
      <c r="D35">
        <f t="shared" ref="D35:G35" si="153">D26*2</f>
        <v>216</v>
      </c>
      <c r="E35">
        <f t="shared" si="153"/>
        <v>160</v>
      </c>
      <c r="F35">
        <f t="shared" si="153"/>
        <v>-32</v>
      </c>
      <c r="G35">
        <f t="shared" si="153"/>
        <v>-56</v>
      </c>
      <c r="I35" t="str">
        <f t="shared" si="119"/>
        <v>[2707,</v>
      </c>
      <c r="J35" t="str">
        <f t="shared" si="120"/>
        <v>0,</v>
      </c>
      <c r="K35" t="str">
        <f t="shared" si="103"/>
        <v>216,</v>
      </c>
      <c r="L35" t="str">
        <f t="shared" si="104"/>
        <v>160,</v>
      </c>
      <c r="M35" t="str">
        <f t="shared" si="105"/>
        <v>-32,</v>
      </c>
      <c r="N35" t="str">
        <f t="shared" si="106"/>
        <v>-56,</v>
      </c>
      <c r="O35" t="s">
        <v>91</v>
      </c>
      <c r="R35">
        <f t="shared" si="132"/>
        <v>2869</v>
      </c>
      <c r="S35">
        <f t="shared" si="121"/>
        <v>0</v>
      </c>
      <c r="T35">
        <f t="shared" ref="T35:W35" si="154">T26*2</f>
        <v>236</v>
      </c>
      <c r="U35">
        <f t="shared" si="154"/>
        <v>176</v>
      </c>
      <c r="V35">
        <f t="shared" si="154"/>
        <v>-32</v>
      </c>
      <c r="W35">
        <f t="shared" si="154"/>
        <v>-56</v>
      </c>
      <c r="Y35" t="str">
        <f t="shared" si="123"/>
        <v>[2869,</v>
      </c>
      <c r="Z35" t="str">
        <f t="shared" si="124"/>
        <v>0,</v>
      </c>
      <c r="AA35" t="str">
        <f t="shared" si="108"/>
        <v>236,</v>
      </c>
      <c r="AB35" t="str">
        <f t="shared" si="109"/>
        <v>176,</v>
      </c>
      <c r="AC35" t="str">
        <f t="shared" si="110"/>
        <v>-32,</v>
      </c>
      <c r="AD35" t="str">
        <f t="shared" si="111"/>
        <v>-56,</v>
      </c>
      <c r="AE35" t="s">
        <v>91</v>
      </c>
      <c r="AH35">
        <f t="shared" si="134"/>
        <v>3144</v>
      </c>
      <c r="AI35">
        <f t="shared" si="125"/>
        <v>0</v>
      </c>
      <c r="AJ35">
        <f t="shared" ref="AJ35:AM35" si="155">AJ26*2</f>
        <v>232</v>
      </c>
      <c r="AK35">
        <f t="shared" si="155"/>
        <v>176</v>
      </c>
      <c r="AL35">
        <f t="shared" si="155"/>
        <v>-32</v>
      </c>
      <c r="AM35">
        <f t="shared" si="155"/>
        <v>-56</v>
      </c>
      <c r="AN35" s="22"/>
      <c r="AO35" s="22" t="str">
        <f t="shared" si="127"/>
        <v>[3144,</v>
      </c>
      <c r="AP35" s="22" t="str">
        <f t="shared" si="128"/>
        <v>0,</v>
      </c>
      <c r="AQ35" s="22" t="str">
        <f t="shared" si="113"/>
        <v>232,</v>
      </c>
      <c r="AR35" s="22" t="str">
        <f t="shared" si="114"/>
        <v>176,</v>
      </c>
      <c r="AS35" s="22" t="str">
        <f t="shared" si="115"/>
        <v>-32,</v>
      </c>
      <c r="AT35" s="22" t="str">
        <f t="shared" si="116"/>
        <v>-56,</v>
      </c>
      <c r="AU35" s="2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V4</vt:lpstr>
      <vt:lpstr>V4.0 még nincs voxel</vt:lpstr>
      <vt:lpstr>Eggyenletek</vt:lpstr>
      <vt:lpstr>Pozició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Bálint</dc:creator>
  <cp:lastModifiedBy>Bálint Sós</cp:lastModifiedBy>
  <dcterms:created xsi:type="dcterms:W3CDTF">2012-03-16T22:18:13Z</dcterms:created>
  <dcterms:modified xsi:type="dcterms:W3CDTF">2026-03-23T21:15:18Z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